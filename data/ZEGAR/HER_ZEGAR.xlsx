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8680" yWindow="-120" windowWidth="29040" windowHeight="15720" activeTab="1"/>
  </bookViews>
  <sheets>
    <sheet name="Arkusz2" sheetId="2" r:id="rId1"/>
    <sheet name="Arkusz1" sheetId="1" r:id="rId2"/>
  </sheets>
  <definedNames>
    <definedName name="_xlnm._FilterDatabase" localSheetId="1" hidden="1">Arkusz1!$A$1:$CA$44</definedName>
  </definedNames>
  <calcPr calcId="14562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2" i="1"/>
</calcChain>
</file>

<file path=xl/sharedStrings.xml><?xml version="1.0" encoding="utf-8"?>
<sst xmlns="http://schemas.openxmlformats.org/spreadsheetml/2006/main" count="1207" uniqueCount="162">
  <si>
    <t>Nrstatku</t>
  </si>
  <si>
    <t>VesselMetiers</t>
  </si>
  <si>
    <t>Oznaka</t>
  </si>
  <si>
    <t>Dlugosc</t>
  </si>
  <si>
    <t>Kw</t>
  </si>
  <si>
    <t>Grt</t>
  </si>
  <si>
    <t>Bandera</t>
  </si>
  <si>
    <t>MiejscePobrania</t>
  </si>
  <si>
    <t>DataPoczatku</t>
  </si>
  <si>
    <t>DataKonca</t>
  </si>
  <si>
    <t>DniWMorzu</t>
  </si>
  <si>
    <t>KrajWyplyniecia</t>
  </si>
  <si>
    <t>PortWyplyniecia</t>
  </si>
  <si>
    <t>KrajWyladunku</t>
  </si>
  <si>
    <t>KrajProbkowania</t>
  </si>
  <si>
    <t>Wyprawa</t>
  </si>
  <si>
    <t>RybaP</t>
  </si>
  <si>
    <t>Projekt</t>
  </si>
  <si>
    <t>LiczbaZaciagow</t>
  </si>
  <si>
    <t>WykonawcaProby</t>
  </si>
  <si>
    <t>KategoriaWyladunku</t>
  </si>
  <si>
    <t>Rok</t>
  </si>
  <si>
    <t>Kolejnawyprawa</t>
  </si>
  <si>
    <t>Miesiac</t>
  </si>
  <si>
    <t>Dzien</t>
  </si>
  <si>
    <t>Typ</t>
  </si>
  <si>
    <t>Narzedzie</t>
  </si>
  <si>
    <t>Oczko</t>
  </si>
  <si>
    <t>Rozmiar</t>
  </si>
  <si>
    <t>Godzina</t>
  </si>
  <si>
    <t>Czaspolowu</t>
  </si>
  <si>
    <t>KwadratBaltycki</t>
  </si>
  <si>
    <t>Rectangle</t>
  </si>
  <si>
    <t>SubdivisionDivision</t>
  </si>
  <si>
    <t>Lowisko</t>
  </si>
  <si>
    <t>SzeroStopnie</t>
  </si>
  <si>
    <t>SzeroMinuty</t>
  </si>
  <si>
    <t>DlugStopnie</t>
  </si>
  <si>
    <t>DlugMinuty</t>
  </si>
  <si>
    <t>GlebokoPolowu</t>
  </si>
  <si>
    <t>GlebokoDna</t>
  </si>
  <si>
    <t>LiczbaZacWyst</t>
  </si>
  <si>
    <t>LiczbaProb</t>
  </si>
  <si>
    <t>Agregacja</t>
  </si>
  <si>
    <t>Wiarygodnosc</t>
  </si>
  <si>
    <t>Uwagi</t>
  </si>
  <si>
    <t>OknoSelekcyjne</t>
  </si>
  <si>
    <t>OknoSelekcyjneWielkosc</t>
  </si>
  <si>
    <t>DeklaracjaKategoriiPolowu</t>
  </si>
  <si>
    <t>Ryba</t>
  </si>
  <si>
    <t>KategoriaPolowu</t>
  </si>
  <si>
    <t>KategoriaWielk</t>
  </si>
  <si>
    <t>PodstawaWieku</t>
  </si>
  <si>
    <t>Klasa</t>
  </si>
  <si>
    <t>Masagramy</t>
  </si>
  <si>
    <t>Plec</t>
  </si>
  <si>
    <t>Gonady</t>
  </si>
  <si>
    <t>Zoladek</t>
  </si>
  <si>
    <t>Populacja</t>
  </si>
  <si>
    <t>Plodnosc</t>
  </si>
  <si>
    <t>Otolitmasamg</t>
  </si>
  <si>
    <t>Stronaotolitu</t>
  </si>
  <si>
    <t>Limfo</t>
  </si>
  <si>
    <t>Owrzodzenia</t>
  </si>
  <si>
    <t>Karlow</t>
  </si>
  <si>
    <t>Mopso</t>
  </si>
  <si>
    <t>Skoli</t>
  </si>
  <si>
    <t>Lordo</t>
  </si>
  <si>
    <t>Kifo</t>
  </si>
  <si>
    <t>Liczbapasozytow</t>
  </si>
  <si>
    <t>Opis</t>
  </si>
  <si>
    <t>Inne</t>
  </si>
  <si>
    <t>UwagiA</t>
  </si>
  <si>
    <t>SkalaGonad</t>
  </si>
  <si>
    <t>POL037200940</t>
  </si>
  <si>
    <t>FYK_SPF_&gt;0_0_0</t>
  </si>
  <si>
    <t>TOL-34</t>
  </si>
  <si>
    <t>POL</t>
  </si>
  <si>
    <t>Port</t>
  </si>
  <si>
    <t>Tolkmicko</t>
  </si>
  <si>
    <t>Tolkmicko PLTMO</t>
  </si>
  <si>
    <t>HER</t>
  </si>
  <si>
    <t>npzdr</t>
  </si>
  <si>
    <t>Observer</t>
  </si>
  <si>
    <t>HUC</t>
  </si>
  <si>
    <t>FYK</t>
  </si>
  <si>
    <t>standardowe</t>
  </si>
  <si>
    <t>BU4</t>
  </si>
  <si>
    <t>37G9</t>
  </si>
  <si>
    <t>BAL26</t>
  </si>
  <si>
    <t>101-Zatoka Gdańska</t>
  </si>
  <si>
    <t>J</t>
  </si>
  <si>
    <t>V</t>
  </si>
  <si>
    <t>5 ŻAKÓW  WP MN</t>
  </si>
  <si>
    <t>L</t>
  </si>
  <si>
    <t>zegar -39</t>
  </si>
  <si>
    <t>Skala 1-8 wg Maiera</t>
  </si>
  <si>
    <t>POL037402068</t>
  </si>
  <si>
    <t>GNS_SPF_32-109_0_0</t>
  </si>
  <si>
    <t>PAS-64</t>
  </si>
  <si>
    <t>Morze</t>
  </si>
  <si>
    <t>Nowa Pasłęka</t>
  </si>
  <si>
    <t>Nowa Pasłęka PLPAA</t>
  </si>
  <si>
    <t>GNS</t>
  </si>
  <si>
    <t>BW4</t>
  </si>
  <si>
    <t>2 MANCE 70 METRÓW WP MN</t>
  </si>
  <si>
    <t>zegar -28</t>
  </si>
  <si>
    <t>zegar -29</t>
  </si>
  <si>
    <t>zegar -30</t>
  </si>
  <si>
    <t>zegar -31</t>
  </si>
  <si>
    <t>zegar -32</t>
  </si>
  <si>
    <t>zegar -33</t>
  </si>
  <si>
    <t>zegar -34</t>
  </si>
  <si>
    <t>zegar -35</t>
  </si>
  <si>
    <t>zegar -36</t>
  </si>
  <si>
    <t>zegar -37</t>
  </si>
  <si>
    <t>zegar -38</t>
  </si>
  <si>
    <t>WP MN 2 ŻAKI</t>
  </si>
  <si>
    <t>zegar -14</t>
  </si>
  <si>
    <t>zegar -10</t>
  </si>
  <si>
    <t>zegar -11</t>
  </si>
  <si>
    <t>zegar -12</t>
  </si>
  <si>
    <t>zegar -13</t>
  </si>
  <si>
    <t>zegar -15</t>
  </si>
  <si>
    <t>zegar -16</t>
  </si>
  <si>
    <t>zegar -17</t>
  </si>
  <si>
    <t>zegar -18</t>
  </si>
  <si>
    <t>zegar -19</t>
  </si>
  <si>
    <t>zegar -20</t>
  </si>
  <si>
    <t>zegar -21</t>
  </si>
  <si>
    <t>zegar -22</t>
  </si>
  <si>
    <t>zegar -23</t>
  </si>
  <si>
    <t>zegar -24</t>
  </si>
  <si>
    <t>zegar -25</t>
  </si>
  <si>
    <t>zegar -26</t>
  </si>
  <si>
    <t>zegar -27</t>
  </si>
  <si>
    <t>zegar -01</t>
  </si>
  <si>
    <t>zegar -02</t>
  </si>
  <si>
    <t>zegar -03</t>
  </si>
  <si>
    <t>zegar -04</t>
  </si>
  <si>
    <t>zegar -05</t>
  </si>
  <si>
    <t>zegar -06</t>
  </si>
  <si>
    <t>zegar -07</t>
  </si>
  <si>
    <t>zegar -08</t>
  </si>
  <si>
    <t>zegar -09</t>
  </si>
  <si>
    <t>Wiek_K</t>
  </si>
  <si>
    <t>Wiek_K_uwagi</t>
  </si>
  <si>
    <t>Wiek_S</t>
  </si>
  <si>
    <t>Wiek_S_uwagi</t>
  </si>
  <si>
    <t>Próba dodatkowa z POL037200940</t>
  </si>
  <si>
    <t>?</t>
  </si>
  <si>
    <t>Wiek_zgodnosc</t>
  </si>
  <si>
    <t>(Wszystko)</t>
  </si>
  <si>
    <t>Etykiety wierszy</t>
  </si>
  <si>
    <t>Suma końcowa</t>
  </si>
  <si>
    <t>Etykiety kolumn</t>
  </si>
  <si>
    <t>Liczba z Plec</t>
  </si>
  <si>
    <t>zegar -40</t>
  </si>
  <si>
    <t>zegar -41</t>
  </si>
  <si>
    <t>zegar -42</t>
  </si>
  <si>
    <t>zegar -43</t>
  </si>
  <si>
    <t>BRAK OTOLITÓW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</si>
</sst>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22" fontId="0" fillId="2" borderId="0" xfId="0" applyNumberFormat="1" applyFill="1"/>
    <xf numFmtId="20" fontId="0" fillId="2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zymon Smoliński" refreshedDate="45728.383691898147" createdVersion="8" refreshedVersion="8" minRefreshableVersion="3" recordCount="43">
  <cacheSource type="worksheet">
    <worksheetSource ref="A1:CA44" sheet="Arkusz1"/>
  </cacheSource>
  <cacheFields count="79">
    <cacheField name="Nrstatku" numFmtId="0">
      <sharedItems/>
    </cacheField>
    <cacheField name="VesselMetiers" numFmtId="0">
      <sharedItems containsBlank="1"/>
    </cacheField>
    <cacheField name="Oznaka" numFmtId="0">
      <sharedItems/>
    </cacheField>
    <cacheField name="Dlugosc" numFmtId="0">
      <sharedItems containsSemiMixedTypes="0" containsString="0" containsNumber="1" containsInteger="1" minValue="6" maxValue="9"/>
    </cacheField>
    <cacheField name="Kw" numFmtId="0">
      <sharedItems containsSemiMixedTypes="0" containsString="0" containsNumber="1" containsInteger="1" minValue="8" maxValue="74"/>
    </cacheField>
    <cacheField name="Grt" numFmtId="0">
      <sharedItems containsSemiMixedTypes="0" containsString="0" containsNumber="1" containsInteger="1" minValue="1" maxValue="4"/>
    </cacheField>
    <cacheField name="Bandera" numFmtId="0">
      <sharedItems/>
    </cacheField>
    <cacheField name="MiejscePobrania" numFmtId="0">
      <sharedItems/>
    </cacheField>
    <cacheField name="DataPoczatku" numFmtId="22">
      <sharedItems containsSemiMixedTypes="0" containsNonDate="0" containsDate="1" containsString="0" minDate="2025-03-09T00:00:00" maxDate="2025-10-12T00:00:00"/>
    </cacheField>
    <cacheField name="DataKonca" numFmtId="22">
      <sharedItems containsSemiMixedTypes="0" containsNonDate="0" containsDate="1" containsString="0" minDate="2025-03-09T00:00:00" maxDate="2025-10-12T00:00:00"/>
    </cacheField>
    <cacheField name="DniWMorzu" numFmtId="0">
      <sharedItems containsSemiMixedTypes="0" containsString="0" containsNumber="1" containsInteger="1" minValue="1" maxValue="1"/>
    </cacheField>
    <cacheField name="KrajWyplyniecia" numFmtId="0">
      <sharedItems/>
    </cacheField>
    <cacheField name="PortWyplyniecia" numFmtId="0">
      <sharedItems/>
    </cacheField>
    <cacheField name="KrajWyladunku" numFmtId="0">
      <sharedItems/>
    </cacheField>
    <cacheField name="KrajProbkowania" numFmtId="0">
      <sharedItems/>
    </cacheField>
    <cacheField name="Wyprawa" numFmtId="0">
      <sharedItems/>
    </cacheField>
    <cacheField name="RybaP" numFmtId="0">
      <sharedItems/>
    </cacheField>
    <cacheField name="Projekt" numFmtId="0">
      <sharedItems/>
    </cacheField>
    <cacheField name="LiczbaZaciagow" numFmtId="0">
      <sharedItems containsSemiMixedTypes="0" containsString="0" containsNumber="1" containsInteger="1" minValue="2" maxValue="5"/>
    </cacheField>
    <cacheField name="WykonawcaProby" numFmtId="0">
      <sharedItems/>
    </cacheField>
    <cacheField name="KategoriaWyladunku" numFmtId="0">
      <sharedItems/>
    </cacheField>
    <cacheField name="Rok" numFmtId="0">
      <sharedItems containsSemiMixedTypes="0" containsString="0" containsNumber="1" containsInteger="1" minValue="2025" maxValue="2025"/>
    </cacheField>
    <cacheField name="Kolejnawyprawa" numFmtId="0">
      <sharedItems containsSemiMixedTypes="0" containsString="0" containsNumber="1" containsInteger="1" minValue="1" maxValue="1"/>
    </cacheField>
    <cacheField name="Miesiac" numFmtId="0">
      <sharedItems containsSemiMixedTypes="0" containsString="0" containsNumber="1" containsInteger="1" minValue="3" maxValue="3"/>
    </cacheField>
    <cacheField name="Dzien" numFmtId="0">
      <sharedItems containsSemiMixedTypes="0" containsString="0" containsNumber="1" containsInteger="1" minValue="9" maxValue="10"/>
    </cacheField>
    <cacheField name="Typ" numFmtId="0">
      <sharedItems containsNonDate="0" containsString="0" containsBlank="1"/>
    </cacheField>
    <cacheField name="Narzedzie" numFmtId="0">
      <sharedItems/>
    </cacheField>
    <cacheField name="Oczko" numFmtId="0">
      <sharedItems/>
    </cacheField>
    <cacheField name="Rozmiar" numFmtId="0">
      <sharedItems containsSemiMixedTypes="0" containsString="0" containsNumber="1" containsInteger="1" minValue="32" maxValue="56"/>
    </cacheField>
    <cacheField name="Godzina" numFmtId="20">
      <sharedItems containsSemiMixedTypes="0" containsNonDate="0" containsDate="1" containsString="0" minDate="1899-12-30T08:00:00" maxDate="1899-12-30T11:00:00"/>
    </cacheField>
    <cacheField name="Czaspolowu" numFmtId="0">
      <sharedItems containsSemiMixedTypes="0" containsString="0" containsNumber="1" containsInteger="1" minValue="1440" maxValue="1440"/>
    </cacheField>
    <cacheField name="KwadratBaltycki" numFmtId="0">
      <sharedItems/>
    </cacheField>
    <cacheField name="Rectangle" numFmtId="0">
      <sharedItems/>
    </cacheField>
    <cacheField name="SubdivisionDivision" numFmtId="0">
      <sharedItems/>
    </cacheField>
    <cacheField name="Lowisko" numFmtId="0">
      <sharedItems containsBlank="1"/>
    </cacheField>
    <cacheField name="SzeroStopnie" numFmtId="0">
      <sharedItems containsSemiMixedTypes="0" containsString="0" containsNumber="1" containsInteger="1" minValue="54" maxValue="54"/>
    </cacheField>
    <cacheField name="SzeroMinuty" numFmtId="0">
      <sharedItems containsSemiMixedTypes="0" containsString="0" containsNumber="1" containsInteger="1" minValue="21" maxValue="25"/>
    </cacheField>
    <cacheField name="DlugStopnie" numFmtId="0">
      <sharedItems containsSemiMixedTypes="0" containsString="0" containsNumber="1" containsInteger="1" minValue="19" maxValue="19"/>
    </cacheField>
    <cacheField name="DlugMinuty" numFmtId="0">
      <sharedItems containsSemiMixedTypes="0" containsString="0" containsNumber="1" containsInteger="1" minValue="32" maxValue="42"/>
    </cacheField>
    <cacheField name="GlebokoPolowu" numFmtId="0">
      <sharedItems containsSemiMixedTypes="0" containsString="0" containsNumber="1" containsInteger="1" minValue="2" maxValue="3"/>
    </cacheField>
    <cacheField name="GlebokoDna" numFmtId="0">
      <sharedItems containsSemiMixedTypes="0" containsString="0" containsNumber="1" containsInteger="1" minValue="2" maxValue="3"/>
    </cacheField>
    <cacheField name="LiczbaZacWyst" numFmtId="0">
      <sharedItems containsSemiMixedTypes="0" containsString="0" containsNumber="1" containsInteger="1" minValue="2" maxValue="5"/>
    </cacheField>
    <cacheField name="LiczbaProb" numFmtId="0">
      <sharedItems containsSemiMixedTypes="0" containsString="0" containsNumber="1" containsInteger="1" minValue="1" maxValue="3"/>
    </cacheField>
    <cacheField name="Agregacja" numFmtId="0">
      <sharedItems/>
    </cacheField>
    <cacheField name="Wiarygodnosc" numFmtId="0">
      <sharedItems/>
    </cacheField>
    <cacheField name="Uwagi" numFmtId="0">
      <sharedItems/>
    </cacheField>
    <cacheField name="OknoSelekcyjne" numFmtId="0">
      <sharedItems containsSemiMixedTypes="0" containsString="0" containsNumber="1" containsInteger="1" minValue="0" maxValue="1"/>
    </cacheField>
    <cacheField name="OknoSelekcyjneWielkosc" numFmtId="0">
      <sharedItems containsString="0" containsBlank="1" containsNumber="1" containsInteger="1" minValue="20" maxValue="20"/>
    </cacheField>
    <cacheField name="DeklaracjaKategoriiPolowu" numFmtId="0">
      <sharedItems containsBlank="1"/>
    </cacheField>
    <cacheField name="Ryba" numFmtId="0">
      <sharedItems/>
    </cacheField>
    <cacheField name="KategoriaPolowu" numFmtId="0">
      <sharedItems/>
    </cacheField>
    <cacheField name="KategoriaWielk" numFmtId="0">
      <sharedItems containsSemiMixedTypes="0" containsString="0" containsNumber="1" containsInteger="1" minValue="0" maxValue="0"/>
    </cacheField>
    <cacheField name="PodstawaWieku" numFmtId="0">
      <sharedItems containsNonDate="0" containsString="0" containsBlank="1"/>
    </cacheField>
    <cacheField name="Klasa" numFmtId="0">
      <sharedItems containsSemiMixedTypes="0" containsString="0" containsNumber="1" containsInteger="1" minValue="40" maxValue="58"/>
    </cacheField>
    <cacheField name="Masagramy" numFmtId="0">
      <sharedItems containsSemiMixedTypes="0" containsString="0" containsNumber="1" containsInteger="1" minValue="55" maxValue="206"/>
    </cacheField>
    <cacheField name="Plec" numFmtId="0">
      <sharedItems containsSemiMixedTypes="0" containsString="0" containsNumber="1" containsInteger="1" minValue="1" maxValue="2"/>
    </cacheField>
    <cacheField name="Gonady" numFmtId="0">
      <sharedItems containsSemiMixedTypes="0" containsString="0" containsNumber="1" containsInteger="1" minValue="4" maxValue="7"/>
    </cacheField>
    <cacheField name="Zoladek" numFmtId="0">
      <sharedItems containsSemiMixedTypes="0" containsString="0" containsNumber="1" containsInteger="1" minValue="0" maxValue="0"/>
    </cacheField>
    <cacheField name="Wiek_K" numFmtId="0">
      <sharedItems containsSemiMixedTypes="0" containsString="0" containsNumber="1" containsInteger="1" minValue="3" maxValue="11" count="9">
        <n v="5"/>
        <n v="3"/>
        <n v="4"/>
        <n v="6"/>
        <n v="7"/>
        <n v="8"/>
        <n v="9"/>
        <n v="11"/>
        <n v="10"/>
      </sharedItems>
    </cacheField>
    <cacheField name="Wiek_K_uwagi" numFmtId="0">
      <sharedItems containsNonDate="0" containsString="0" containsBlank="1"/>
    </cacheField>
    <cacheField name="Wiek_S" numFmtId="0">
      <sharedItems containsSemiMixedTypes="0" containsString="0" containsNumber="1" containsInteger="1" minValue="3" maxValue="9" count="7">
        <n v="5"/>
        <n v="3"/>
        <n v="4"/>
        <n v="6"/>
        <n v="7"/>
        <n v="8"/>
        <n v="9"/>
      </sharedItems>
    </cacheField>
    <cacheField name="Wiek_S_uwagi" numFmtId="0">
      <sharedItems containsBlank="1"/>
    </cacheField>
    <cacheField name="Populacja" numFmtId="0">
      <sharedItems containsNonDate="0" containsString="0" containsBlank="1"/>
    </cacheField>
    <cacheField name="Plodnosc" numFmtId="0">
      <sharedItems containsNonDate="0" containsString="0" containsBlank="1"/>
    </cacheField>
    <cacheField name="Otolitmasamg" numFmtId="0">
      <sharedItems containsNonDate="0" containsString="0" containsBlank="1"/>
    </cacheField>
    <cacheField name="Stronaotolitu" numFmtId="0">
      <sharedItems containsNonDate="0" containsString="0" containsBlank="1"/>
    </cacheField>
    <cacheField name="Limfo" numFmtId="0">
      <sharedItems containsNonDate="0" containsString="0" containsBlank="1"/>
    </cacheField>
    <cacheField name="Owrzodzenia" numFmtId="0">
      <sharedItems containsNonDate="0" containsString="0" containsBlank="1"/>
    </cacheField>
    <cacheField name="Karlow" numFmtId="0">
      <sharedItems containsString="0" containsBlank="1" containsNumber="1" containsInteger="1" minValue="0" maxValue="0"/>
    </cacheField>
    <cacheField name="Mopso" numFmtId="0">
      <sharedItems containsString="0" containsBlank="1" containsNumber="1" containsInteger="1" minValue="0" maxValue="0"/>
    </cacheField>
    <cacheField name="Skoli" numFmtId="0">
      <sharedItems containsString="0" containsBlank="1" containsNumber="1" containsInteger="1" minValue="0" maxValue="0"/>
    </cacheField>
    <cacheField name="Lordo" numFmtId="0">
      <sharedItems containsString="0" containsBlank="1" containsNumber="1" containsInteger="1" minValue="0" maxValue="0"/>
    </cacheField>
    <cacheField name="Kifo" numFmtId="0">
      <sharedItems containsString="0" containsBlank="1" containsNumber="1" containsInteger="1" minValue="0" maxValue="0"/>
    </cacheField>
    <cacheField name="Liczbapasozytow" numFmtId="0">
      <sharedItems containsString="0" containsBlank="1" containsNumber="1" containsInteger="1" minValue="1" maxValue="13"/>
    </cacheField>
    <cacheField name="Opis" numFmtId="0">
      <sharedItems containsNonDate="0" containsString="0" containsBlank="1"/>
    </cacheField>
    <cacheField name="Inne" numFmtId="0">
      <sharedItems containsNonDate="0" containsString="0" containsBlank="1"/>
    </cacheField>
    <cacheField name="Wiek_zgodnosc" numFmtId="0">
      <sharedItems containsSemiMixedTypes="0" containsString="0" containsNumber="1" containsInteger="1" minValue="0" maxValue="1" count="2">
        <n v="1"/>
        <n v="0"/>
      </sharedItems>
    </cacheField>
    <cacheField name="UwagiA" numFmtId="0">
      <sharedItems/>
    </cacheField>
    <cacheField name="SkalaGon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0"/>
    <n v="66"/>
    <n v="1"/>
    <n v="5"/>
    <n v="0"/>
    <x v="0"/>
    <m/>
    <x v="0"/>
    <m/>
    <m/>
    <m/>
    <m/>
    <m/>
    <m/>
    <m/>
    <n v="0"/>
    <n v="0"/>
    <n v="0"/>
    <n v="0"/>
    <n v="0"/>
    <m/>
    <m/>
    <m/>
    <x v="0"/>
    <s v="zegar -01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0"/>
    <n v="56"/>
    <n v="1"/>
    <n v="5"/>
    <n v="0"/>
    <x v="1"/>
    <m/>
    <x v="1"/>
    <s v="?"/>
    <m/>
    <m/>
    <m/>
    <m/>
    <m/>
    <m/>
    <n v="0"/>
    <n v="0"/>
    <n v="0"/>
    <n v="0"/>
    <n v="0"/>
    <m/>
    <m/>
    <m/>
    <x v="0"/>
    <s v="zegar -02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0"/>
    <n v="55"/>
    <n v="1"/>
    <n v="5"/>
    <n v="0"/>
    <x v="2"/>
    <m/>
    <x v="1"/>
    <m/>
    <m/>
    <m/>
    <m/>
    <m/>
    <m/>
    <m/>
    <n v="0"/>
    <n v="0"/>
    <n v="0"/>
    <n v="0"/>
    <n v="0"/>
    <m/>
    <m/>
    <m/>
    <x v="1"/>
    <s v="zegar -03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0"/>
    <n v="59"/>
    <n v="1"/>
    <n v="5"/>
    <n v="0"/>
    <x v="1"/>
    <m/>
    <x v="1"/>
    <m/>
    <m/>
    <m/>
    <m/>
    <m/>
    <m/>
    <m/>
    <n v="0"/>
    <n v="0"/>
    <n v="0"/>
    <n v="0"/>
    <n v="0"/>
    <m/>
    <m/>
    <m/>
    <x v="0"/>
    <s v="zegar -04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1"/>
    <n v="66"/>
    <n v="1"/>
    <n v="5"/>
    <n v="0"/>
    <x v="2"/>
    <m/>
    <x v="1"/>
    <m/>
    <m/>
    <m/>
    <m/>
    <m/>
    <m/>
    <m/>
    <n v="0"/>
    <n v="0"/>
    <n v="0"/>
    <n v="0"/>
    <n v="0"/>
    <m/>
    <m/>
    <m/>
    <x v="1"/>
    <s v="zegar -05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1"/>
    <n v="67"/>
    <n v="1"/>
    <n v="6"/>
    <n v="0"/>
    <x v="1"/>
    <m/>
    <x v="1"/>
    <m/>
    <m/>
    <m/>
    <m/>
    <m/>
    <m/>
    <m/>
    <n v="0"/>
    <n v="0"/>
    <n v="0"/>
    <n v="0"/>
    <n v="0"/>
    <m/>
    <m/>
    <m/>
    <x v="0"/>
    <s v="zegar -06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1"/>
    <n v="64"/>
    <n v="2"/>
    <n v="6"/>
    <n v="0"/>
    <x v="1"/>
    <m/>
    <x v="1"/>
    <m/>
    <m/>
    <m/>
    <m/>
    <m/>
    <m/>
    <m/>
    <n v="0"/>
    <n v="0"/>
    <n v="0"/>
    <n v="0"/>
    <n v="0"/>
    <m/>
    <m/>
    <m/>
    <x v="0"/>
    <s v="zegar -07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2"/>
    <n v="67"/>
    <n v="1"/>
    <n v="6"/>
    <n v="0"/>
    <x v="2"/>
    <m/>
    <x v="2"/>
    <m/>
    <m/>
    <m/>
    <m/>
    <m/>
    <m/>
    <m/>
    <n v="0"/>
    <n v="0"/>
    <n v="0"/>
    <n v="0"/>
    <n v="0"/>
    <m/>
    <m/>
    <m/>
    <x v="0"/>
    <s v="zegar -08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2"/>
    <n v="78"/>
    <n v="2"/>
    <n v="6"/>
    <n v="0"/>
    <x v="3"/>
    <m/>
    <x v="3"/>
    <m/>
    <m/>
    <m/>
    <m/>
    <m/>
    <m/>
    <m/>
    <n v="0"/>
    <n v="0"/>
    <n v="0"/>
    <n v="0"/>
    <n v="0"/>
    <m/>
    <m/>
    <m/>
    <x v="0"/>
    <s v="zegar -09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2"/>
    <n v="71"/>
    <n v="1"/>
    <n v="6"/>
    <n v="0"/>
    <x v="0"/>
    <m/>
    <x v="0"/>
    <m/>
    <m/>
    <m/>
    <m/>
    <m/>
    <m/>
    <m/>
    <n v="0"/>
    <n v="0"/>
    <n v="0"/>
    <n v="0"/>
    <n v="0"/>
    <m/>
    <m/>
    <m/>
    <x v="0"/>
    <s v="zegar -10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2"/>
    <n v="80"/>
    <n v="2"/>
    <n v="4"/>
    <n v="0"/>
    <x v="2"/>
    <m/>
    <x v="2"/>
    <m/>
    <m/>
    <m/>
    <m/>
    <m/>
    <m/>
    <m/>
    <n v="0"/>
    <n v="0"/>
    <n v="0"/>
    <n v="0"/>
    <n v="0"/>
    <m/>
    <m/>
    <m/>
    <x v="0"/>
    <s v="zegar -11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3"/>
    <n v="77"/>
    <n v="2"/>
    <n v="4"/>
    <n v="0"/>
    <x v="2"/>
    <m/>
    <x v="2"/>
    <m/>
    <m/>
    <m/>
    <m/>
    <m/>
    <m/>
    <m/>
    <n v="0"/>
    <n v="0"/>
    <n v="0"/>
    <n v="0"/>
    <n v="0"/>
    <m/>
    <m/>
    <m/>
    <x v="0"/>
    <s v="zegar -12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3"/>
    <n v="72"/>
    <n v="2"/>
    <n v="6"/>
    <n v="0"/>
    <x v="1"/>
    <m/>
    <x v="1"/>
    <m/>
    <m/>
    <m/>
    <m/>
    <m/>
    <m/>
    <m/>
    <n v="0"/>
    <n v="0"/>
    <n v="0"/>
    <n v="0"/>
    <n v="0"/>
    <m/>
    <m/>
    <m/>
    <x v="0"/>
    <s v="zegar -13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0"/>
    <n v="73"/>
    <n v="2"/>
    <n v="6"/>
    <n v="0"/>
    <x v="1"/>
    <m/>
    <x v="1"/>
    <m/>
    <m/>
    <m/>
    <m/>
    <m/>
    <m/>
    <m/>
    <n v="0"/>
    <n v="0"/>
    <n v="0"/>
    <n v="0"/>
    <n v="0"/>
    <m/>
    <m/>
    <m/>
    <x v="0"/>
    <s v="zegar -14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3"/>
    <n v="71"/>
    <n v="2"/>
    <n v="6"/>
    <n v="0"/>
    <x v="2"/>
    <m/>
    <x v="2"/>
    <m/>
    <m/>
    <m/>
    <m/>
    <m/>
    <m/>
    <m/>
    <n v="0"/>
    <n v="0"/>
    <n v="0"/>
    <n v="0"/>
    <n v="0"/>
    <m/>
    <m/>
    <m/>
    <x v="0"/>
    <s v="zegar -15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4"/>
    <n v="78"/>
    <n v="1"/>
    <n v="6"/>
    <n v="0"/>
    <x v="3"/>
    <m/>
    <x v="3"/>
    <m/>
    <m/>
    <m/>
    <m/>
    <m/>
    <m/>
    <m/>
    <n v="0"/>
    <n v="0"/>
    <n v="0"/>
    <n v="0"/>
    <n v="0"/>
    <m/>
    <m/>
    <m/>
    <x v="0"/>
    <s v="zegar -16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4"/>
    <n v="80"/>
    <n v="2"/>
    <n v="6"/>
    <n v="0"/>
    <x v="0"/>
    <m/>
    <x v="0"/>
    <m/>
    <m/>
    <m/>
    <m/>
    <m/>
    <m/>
    <m/>
    <n v="0"/>
    <n v="0"/>
    <n v="0"/>
    <n v="0"/>
    <n v="0"/>
    <m/>
    <m/>
    <m/>
    <x v="0"/>
    <s v="zegar -17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4"/>
    <n v="76"/>
    <n v="1"/>
    <n v="6"/>
    <n v="0"/>
    <x v="2"/>
    <m/>
    <x v="2"/>
    <m/>
    <m/>
    <m/>
    <m/>
    <m/>
    <m/>
    <m/>
    <n v="0"/>
    <n v="0"/>
    <n v="0"/>
    <n v="0"/>
    <n v="0"/>
    <m/>
    <m/>
    <m/>
    <x v="0"/>
    <s v="zegar -18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5"/>
    <n v="96"/>
    <n v="2"/>
    <n v="6"/>
    <n v="0"/>
    <x v="3"/>
    <m/>
    <x v="3"/>
    <m/>
    <m/>
    <m/>
    <m/>
    <m/>
    <m/>
    <m/>
    <n v="0"/>
    <n v="0"/>
    <n v="0"/>
    <n v="0"/>
    <n v="0"/>
    <m/>
    <m/>
    <m/>
    <x v="0"/>
    <s v="zegar -19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6"/>
    <n v="96"/>
    <n v="2"/>
    <n v="6"/>
    <n v="0"/>
    <x v="0"/>
    <m/>
    <x v="0"/>
    <m/>
    <m/>
    <m/>
    <m/>
    <m/>
    <m/>
    <m/>
    <n v="0"/>
    <n v="0"/>
    <n v="0"/>
    <n v="0"/>
    <n v="0"/>
    <m/>
    <m/>
    <m/>
    <x v="0"/>
    <s v="zegar -20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6"/>
    <n v="96"/>
    <n v="2"/>
    <n v="4"/>
    <n v="0"/>
    <x v="3"/>
    <m/>
    <x v="3"/>
    <m/>
    <m/>
    <m/>
    <m/>
    <m/>
    <m/>
    <m/>
    <n v="0"/>
    <n v="0"/>
    <n v="0"/>
    <n v="0"/>
    <n v="0"/>
    <m/>
    <m/>
    <m/>
    <x v="0"/>
    <s v="zegar -21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7"/>
    <n v="98"/>
    <n v="2"/>
    <n v="6"/>
    <n v="0"/>
    <x v="3"/>
    <m/>
    <x v="3"/>
    <m/>
    <m/>
    <m/>
    <m/>
    <m/>
    <m/>
    <m/>
    <n v="0"/>
    <n v="0"/>
    <n v="0"/>
    <n v="0"/>
    <n v="0"/>
    <m/>
    <m/>
    <m/>
    <x v="0"/>
    <s v="zegar -22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7"/>
    <n v="95"/>
    <n v="2"/>
    <n v="6"/>
    <n v="0"/>
    <x v="4"/>
    <m/>
    <x v="4"/>
    <s v="?"/>
    <m/>
    <m/>
    <m/>
    <m/>
    <m/>
    <m/>
    <n v="0"/>
    <n v="0"/>
    <n v="0"/>
    <n v="0"/>
    <n v="0"/>
    <m/>
    <m/>
    <m/>
    <x v="0"/>
    <s v="zegar -23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8"/>
    <n v="102"/>
    <n v="2"/>
    <n v="6"/>
    <n v="0"/>
    <x v="5"/>
    <m/>
    <x v="5"/>
    <m/>
    <m/>
    <m/>
    <m/>
    <m/>
    <m/>
    <m/>
    <n v="0"/>
    <n v="0"/>
    <n v="0"/>
    <n v="0"/>
    <n v="0"/>
    <m/>
    <m/>
    <m/>
    <x v="0"/>
    <s v="zegar -24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8"/>
    <n v="101"/>
    <n v="1"/>
    <n v="6"/>
    <n v="0"/>
    <x v="0"/>
    <m/>
    <x v="0"/>
    <s v="?"/>
    <m/>
    <m/>
    <m/>
    <m/>
    <m/>
    <m/>
    <n v="0"/>
    <n v="0"/>
    <n v="0"/>
    <n v="0"/>
    <n v="0"/>
    <n v="1"/>
    <m/>
    <m/>
    <x v="0"/>
    <s v="zegar -25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49"/>
    <n v="110"/>
    <n v="1"/>
    <n v="6"/>
    <n v="0"/>
    <x v="6"/>
    <m/>
    <x v="6"/>
    <s v="?"/>
    <m/>
    <m/>
    <m/>
    <m/>
    <m/>
    <m/>
    <n v="0"/>
    <n v="0"/>
    <n v="0"/>
    <n v="0"/>
    <n v="0"/>
    <m/>
    <m/>
    <m/>
    <x v="0"/>
    <s v="zegar -26"/>
    <s v="Skala 1-8 wg Maiera"/>
  </r>
  <r>
    <s v="POL037402068"/>
    <m/>
    <s v="PAS-64"/>
    <n v="6"/>
    <n v="8"/>
    <n v="1"/>
    <s v="POL"/>
    <s v="Port"/>
    <d v="2025-03-09T00:00:00"/>
    <d v="2025-03-09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FYK"/>
    <s v="standardowe"/>
    <n v="44"/>
    <d v="1899-12-30T10:00:00"/>
    <n v="1440"/>
    <s v="BW4"/>
    <s v="37G9"/>
    <s v="BAL26"/>
    <m/>
    <n v="54"/>
    <n v="25"/>
    <n v="19"/>
    <n v="42"/>
    <n v="2"/>
    <n v="2"/>
    <n v="2"/>
    <n v="1"/>
    <s v="J"/>
    <s v="V"/>
    <s v="WP MN 2 ŻAKI"/>
    <n v="1"/>
    <n v="20"/>
    <m/>
    <s v="HER"/>
    <s v="L"/>
    <n v="0"/>
    <m/>
    <n v="54"/>
    <n v="154"/>
    <n v="1"/>
    <n v="6"/>
    <n v="0"/>
    <x v="5"/>
    <m/>
    <x v="5"/>
    <m/>
    <m/>
    <m/>
    <m/>
    <m/>
    <m/>
    <m/>
    <n v="0"/>
    <n v="0"/>
    <n v="0"/>
    <n v="0"/>
    <n v="0"/>
    <n v="11"/>
    <m/>
    <m/>
    <x v="0"/>
    <s v="zegar -27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48"/>
    <n v="112"/>
    <n v="1"/>
    <n v="6"/>
    <n v="0"/>
    <x v="6"/>
    <m/>
    <x v="6"/>
    <s v="?"/>
    <m/>
    <m/>
    <m/>
    <m/>
    <m/>
    <m/>
    <n v="0"/>
    <n v="0"/>
    <n v="0"/>
    <n v="0"/>
    <n v="0"/>
    <m/>
    <m/>
    <m/>
    <x v="0"/>
    <s v="zegar -28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49"/>
    <n v="125"/>
    <n v="2"/>
    <n v="6"/>
    <n v="0"/>
    <x v="4"/>
    <m/>
    <x v="4"/>
    <s v="?"/>
    <m/>
    <m/>
    <m/>
    <m/>
    <m/>
    <m/>
    <n v="0"/>
    <n v="0"/>
    <n v="0"/>
    <n v="0"/>
    <n v="0"/>
    <n v="3"/>
    <m/>
    <m/>
    <x v="0"/>
    <s v="zegar -29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3"/>
    <n v="161"/>
    <n v="2"/>
    <n v="6"/>
    <n v="0"/>
    <x v="4"/>
    <m/>
    <x v="4"/>
    <m/>
    <m/>
    <m/>
    <m/>
    <m/>
    <m/>
    <m/>
    <n v="0"/>
    <n v="0"/>
    <n v="0"/>
    <n v="0"/>
    <n v="0"/>
    <n v="12"/>
    <m/>
    <m/>
    <x v="0"/>
    <s v="zegar -30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3"/>
    <n v="181"/>
    <n v="2"/>
    <n v="6"/>
    <n v="0"/>
    <x v="4"/>
    <m/>
    <x v="4"/>
    <s v="?"/>
    <m/>
    <m/>
    <m/>
    <m/>
    <m/>
    <m/>
    <n v="0"/>
    <n v="0"/>
    <n v="0"/>
    <n v="0"/>
    <n v="0"/>
    <n v="12"/>
    <m/>
    <m/>
    <x v="0"/>
    <s v="zegar -31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5"/>
    <n v="165"/>
    <n v="2"/>
    <n v="6"/>
    <n v="0"/>
    <x v="4"/>
    <m/>
    <x v="4"/>
    <s v="?"/>
    <m/>
    <m/>
    <m/>
    <m/>
    <m/>
    <m/>
    <n v="0"/>
    <n v="0"/>
    <n v="0"/>
    <n v="0"/>
    <n v="0"/>
    <n v="4"/>
    <m/>
    <m/>
    <x v="0"/>
    <s v="zegar -32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6"/>
    <n v="188"/>
    <n v="2"/>
    <n v="6"/>
    <n v="0"/>
    <x v="5"/>
    <m/>
    <x v="5"/>
    <m/>
    <m/>
    <m/>
    <m/>
    <m/>
    <m/>
    <m/>
    <n v="0"/>
    <n v="0"/>
    <n v="0"/>
    <n v="0"/>
    <n v="0"/>
    <n v="13"/>
    <m/>
    <m/>
    <x v="0"/>
    <s v="zegar -33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6"/>
    <n v="173"/>
    <n v="2"/>
    <n v="6"/>
    <n v="0"/>
    <x v="5"/>
    <m/>
    <x v="5"/>
    <m/>
    <m/>
    <m/>
    <m/>
    <m/>
    <m/>
    <m/>
    <n v="0"/>
    <n v="0"/>
    <n v="0"/>
    <n v="0"/>
    <n v="0"/>
    <n v="9"/>
    <m/>
    <m/>
    <x v="0"/>
    <s v="zegar -34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6"/>
    <n v="192"/>
    <n v="2"/>
    <n v="6"/>
    <n v="0"/>
    <x v="5"/>
    <m/>
    <x v="4"/>
    <m/>
    <m/>
    <m/>
    <m/>
    <m/>
    <m/>
    <m/>
    <n v="0"/>
    <n v="0"/>
    <n v="0"/>
    <n v="0"/>
    <n v="0"/>
    <n v="13"/>
    <m/>
    <m/>
    <x v="1"/>
    <s v="zegar -35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7"/>
    <n v="206"/>
    <n v="2"/>
    <n v="6"/>
    <n v="0"/>
    <x v="6"/>
    <m/>
    <x v="5"/>
    <s v="?"/>
    <m/>
    <m/>
    <m/>
    <m/>
    <m/>
    <m/>
    <n v="0"/>
    <n v="0"/>
    <n v="0"/>
    <n v="0"/>
    <n v="0"/>
    <n v="3"/>
    <m/>
    <m/>
    <x v="1"/>
    <s v="zegar -36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7"/>
    <n v="169"/>
    <n v="2"/>
    <n v="6"/>
    <n v="0"/>
    <x v="7"/>
    <m/>
    <x v="6"/>
    <m/>
    <m/>
    <m/>
    <m/>
    <m/>
    <m/>
    <m/>
    <n v="0"/>
    <n v="0"/>
    <n v="0"/>
    <n v="0"/>
    <n v="0"/>
    <m/>
    <m/>
    <m/>
    <x v="1"/>
    <s v="zegar -37"/>
    <s v="Skala 1-8 wg Maiera"/>
  </r>
  <r>
    <s v="POL037402068"/>
    <s v="GNS_SPF_32-109_0_0"/>
    <s v="PAS-64"/>
    <n v="6"/>
    <n v="8"/>
    <n v="1"/>
    <s v="POL"/>
    <s v="Morze"/>
    <d v="2025-03-10T00:00:00"/>
    <d v="2025-03-10T00:00:00"/>
    <n v="1"/>
    <s v="POL"/>
    <s v="Nowa Pasłęka"/>
    <s v="POL"/>
    <s v="POL"/>
    <s v="Nowa Pasłęka PLPAA"/>
    <s v="HER"/>
    <s v="npzdr"/>
    <n v="2"/>
    <s v="Observer"/>
    <s v="HUC"/>
    <n v="2025"/>
    <n v="1"/>
    <n v="3"/>
    <n v="9"/>
    <m/>
    <s v="GNS"/>
    <s v="standardowe"/>
    <n v="56"/>
    <d v="1899-12-30T11:00:00"/>
    <n v="1440"/>
    <s v="BW4"/>
    <s v="37G9"/>
    <s v="BAL26"/>
    <m/>
    <n v="54"/>
    <n v="25"/>
    <n v="19"/>
    <n v="42"/>
    <n v="3"/>
    <n v="3"/>
    <n v="2"/>
    <n v="1"/>
    <s v="J"/>
    <s v="V"/>
    <s v="2 MANCE 70 METRÓW WP MN"/>
    <n v="0"/>
    <m/>
    <s v="GNS_SPF_32-109_0_0"/>
    <s v="HER"/>
    <s v="L"/>
    <n v="0"/>
    <m/>
    <n v="58"/>
    <n v="166"/>
    <n v="1"/>
    <n v="7"/>
    <n v="0"/>
    <x v="6"/>
    <m/>
    <x v="5"/>
    <m/>
    <m/>
    <m/>
    <m/>
    <m/>
    <m/>
    <m/>
    <n v="0"/>
    <n v="0"/>
    <n v="0"/>
    <n v="0"/>
    <n v="0"/>
    <n v="5"/>
    <m/>
    <m/>
    <x v="1"/>
    <s v="zegar -38"/>
    <s v="Skala 1-8 wg Maiera"/>
  </r>
  <r>
    <s v="POL037200940"/>
    <s v="FYK_SPF_&gt;0_0_0"/>
    <s v="TOL-34"/>
    <n v="9"/>
    <n v="74"/>
    <n v="4"/>
    <s v="POL"/>
    <s v="Port"/>
    <d v="2025-10-11T00:00:00"/>
    <d v="2025-10-11T00:00:00"/>
    <n v="1"/>
    <s v="POL"/>
    <s v="Tolkmicko"/>
    <s v="POL"/>
    <s v="POL"/>
    <s v="Tolkmicko PLTMO"/>
    <s v="HER"/>
    <s v="npzdr"/>
    <n v="5"/>
    <s v="Observer"/>
    <s v="HUC"/>
    <n v="2025"/>
    <n v="1"/>
    <n v="3"/>
    <n v="10"/>
    <m/>
    <s v="FYK"/>
    <s v="standardowe"/>
    <n v="32"/>
    <d v="1899-12-30T08:00:00"/>
    <n v="1440"/>
    <s v="BU4"/>
    <s v="37G9"/>
    <s v="BAL26"/>
    <s v="101-Zatoka Gdańska"/>
    <n v="54"/>
    <n v="21"/>
    <n v="19"/>
    <n v="32"/>
    <n v="3"/>
    <n v="3"/>
    <n v="5"/>
    <n v="3"/>
    <s v="J"/>
    <s v="V"/>
    <s v="5 ŻAKÓW  WP MN"/>
    <n v="0"/>
    <m/>
    <s v="FYK_SPF_&gt;0_0_0"/>
    <s v="HER"/>
    <s v="L"/>
    <n v="0"/>
    <m/>
    <n v="47"/>
    <n v="87"/>
    <n v="1"/>
    <n v="6"/>
    <n v="0"/>
    <x v="5"/>
    <m/>
    <x v="6"/>
    <m/>
    <m/>
    <m/>
    <m/>
    <m/>
    <m/>
    <m/>
    <n v="0"/>
    <n v="0"/>
    <n v="0"/>
    <n v="0"/>
    <n v="0"/>
    <m/>
    <m/>
    <m/>
    <x v="1"/>
    <s v="zegar -39"/>
    <s v="Skala 1-8 wg Maiera"/>
  </r>
  <r>
    <s v="POL037200940"/>
    <s v="FYK_SPF_&gt;0_0_0"/>
    <s v="TOL-34"/>
    <n v="9"/>
    <n v="74"/>
    <n v="4"/>
    <s v="POL"/>
    <s v="Port"/>
    <d v="2025-10-11T00:00:00"/>
    <d v="2025-10-11T00:00:00"/>
    <n v="1"/>
    <s v="POL"/>
    <s v="Tolkmicko"/>
    <s v="POL"/>
    <s v="POL"/>
    <s v="Tolkmicko PLTMO"/>
    <s v="HER"/>
    <s v="npzdr"/>
    <n v="5"/>
    <s v="Observer"/>
    <s v="HUC"/>
    <n v="2025"/>
    <n v="1"/>
    <n v="3"/>
    <n v="10"/>
    <m/>
    <s v="FYK"/>
    <s v="standardowe"/>
    <n v="32"/>
    <d v="1899-12-30T08:00:00"/>
    <n v="1440"/>
    <s v="BU4"/>
    <s v="37G9"/>
    <s v="BAL26"/>
    <s v="101-Zatoka Gdańska"/>
    <n v="54"/>
    <n v="21"/>
    <n v="19"/>
    <n v="32"/>
    <n v="3"/>
    <n v="3"/>
    <n v="5"/>
    <n v="3"/>
    <s v="J"/>
    <s v="V"/>
    <s v="5 ŻAKÓW  WP MN"/>
    <n v="0"/>
    <m/>
    <s v="FYK_SPF_&gt;0_0_0"/>
    <s v="HER"/>
    <s v="L"/>
    <n v="0"/>
    <m/>
    <n v="48"/>
    <n v="118"/>
    <n v="2"/>
    <n v="6"/>
    <n v="0"/>
    <x v="6"/>
    <m/>
    <x v="6"/>
    <s v="?"/>
    <m/>
    <m/>
    <m/>
    <m/>
    <m/>
    <m/>
    <n v="0"/>
    <n v="0"/>
    <n v="0"/>
    <n v="0"/>
    <n v="0"/>
    <m/>
    <m/>
    <m/>
    <x v="0"/>
    <s v="zegar-40"/>
    <s v="Skala 1-8 wg Maiera"/>
  </r>
  <r>
    <s v="POL037200940"/>
    <s v="FYK_SPF_&gt;0_0_0"/>
    <s v="TOL-34"/>
    <n v="9"/>
    <n v="74"/>
    <n v="4"/>
    <s v="POL"/>
    <s v="Port"/>
    <d v="2025-10-11T00:00:00"/>
    <d v="2025-10-11T00:00:00"/>
    <n v="1"/>
    <s v="POL"/>
    <s v="Tolkmicko"/>
    <s v="POL"/>
    <s v="POL"/>
    <s v="Tolkmicko PLTMO"/>
    <s v="HER"/>
    <s v="npzdr"/>
    <n v="5"/>
    <s v="Observer"/>
    <s v="HUC"/>
    <n v="2025"/>
    <n v="1"/>
    <n v="3"/>
    <n v="10"/>
    <m/>
    <s v="FYK"/>
    <s v="standardowe"/>
    <n v="32"/>
    <d v="1899-12-30T08:00:00"/>
    <n v="1440"/>
    <s v="BU4"/>
    <s v="37G9"/>
    <s v="BAL26"/>
    <s v="101-Zatoka Gdańska"/>
    <n v="54"/>
    <n v="21"/>
    <n v="19"/>
    <n v="32"/>
    <n v="3"/>
    <n v="3"/>
    <n v="5"/>
    <n v="3"/>
    <s v="J"/>
    <s v="V"/>
    <s v="5 ŻAKÓW  WP MN"/>
    <n v="0"/>
    <m/>
    <s v="FYK_SPF_&gt;0_0_0"/>
    <s v="HER"/>
    <s v="L"/>
    <n v="0"/>
    <m/>
    <n v="49"/>
    <n v="124"/>
    <n v="1"/>
    <n v="6"/>
    <n v="0"/>
    <x v="8"/>
    <m/>
    <x v="6"/>
    <m/>
    <m/>
    <m/>
    <m/>
    <m/>
    <m/>
    <m/>
    <n v="0"/>
    <n v="0"/>
    <n v="0"/>
    <n v="0"/>
    <n v="0"/>
    <m/>
    <m/>
    <m/>
    <x v="1"/>
    <s v="zegar-41"/>
    <s v="Skala 1-8 wg Maiera"/>
  </r>
  <r>
    <s v="Próba dodatkowa z POL037200940"/>
    <m/>
    <s v="TOL-34"/>
    <n v="9"/>
    <n v="74"/>
    <n v="4"/>
    <s v="POL"/>
    <s v="Port"/>
    <d v="2025-10-11T00:00:00"/>
    <d v="2025-10-11T00:00:00"/>
    <n v="1"/>
    <s v="POL"/>
    <s v="Tolkmicko"/>
    <s v="POL"/>
    <s v="POL"/>
    <s v="Tolkmicko PLTMO"/>
    <s v="HER"/>
    <s v="npzdr"/>
    <n v="5"/>
    <s v="Observer"/>
    <s v="HUC"/>
    <n v="2025"/>
    <n v="1"/>
    <n v="3"/>
    <n v="10"/>
    <m/>
    <s v="FYK"/>
    <s v="standardowe"/>
    <n v="32"/>
    <d v="1899-12-30T08:00:00"/>
    <n v="1440"/>
    <s v="BU4"/>
    <s v="37G9"/>
    <s v="BAL26"/>
    <s v="101-Zatoka Gdańska"/>
    <n v="54"/>
    <n v="21"/>
    <n v="19"/>
    <n v="32"/>
    <n v="3"/>
    <n v="3"/>
    <n v="5"/>
    <n v="3"/>
    <s v="J"/>
    <s v="V"/>
    <s v="5 ŻAKÓW  WP MN"/>
    <n v="0"/>
    <m/>
    <s v="FYK_SPF_&gt;0_0_0"/>
    <s v="HER"/>
    <s v="L"/>
    <n v="0"/>
    <m/>
    <n v="45"/>
    <n v="101"/>
    <n v="1"/>
    <n v="4"/>
    <n v="0"/>
    <x v="5"/>
    <m/>
    <x v="5"/>
    <m/>
    <m/>
    <m/>
    <m/>
    <m/>
    <m/>
    <m/>
    <m/>
    <m/>
    <m/>
    <m/>
    <m/>
    <m/>
    <m/>
    <m/>
    <x v="0"/>
    <s v="zegar-42"/>
    <m/>
  </r>
  <r>
    <s v="Próba dodatkowa z POL037200940"/>
    <m/>
    <s v="TOL-34"/>
    <n v="9"/>
    <n v="74"/>
    <n v="4"/>
    <s v="POL"/>
    <s v="Port"/>
    <d v="2025-10-11T00:00:00"/>
    <d v="2025-10-11T00:00:00"/>
    <n v="1"/>
    <s v="POL"/>
    <s v="Tolkmicko"/>
    <s v="POL"/>
    <s v="POL"/>
    <s v="Tolkmicko PLTMO"/>
    <s v="HER"/>
    <s v="npzdr"/>
    <n v="5"/>
    <s v="Observer"/>
    <s v="HUC"/>
    <n v="2025"/>
    <n v="1"/>
    <n v="3"/>
    <n v="10"/>
    <m/>
    <s v="FYK"/>
    <s v="standardowe"/>
    <n v="32"/>
    <d v="1899-12-30T08:00:00"/>
    <n v="1440"/>
    <s v="BU4"/>
    <s v="37G9"/>
    <s v="BAL26"/>
    <s v="101-Zatoka Gdańska"/>
    <n v="54"/>
    <n v="21"/>
    <n v="19"/>
    <n v="32"/>
    <n v="3"/>
    <n v="3"/>
    <n v="5"/>
    <n v="3"/>
    <s v="J"/>
    <s v="V"/>
    <s v="5 ŻAKÓW  WP MN"/>
    <n v="0"/>
    <m/>
    <s v="FYK_SPF_&gt;0_0_0"/>
    <s v="HER"/>
    <s v="L"/>
    <n v="0"/>
    <m/>
    <n v="43"/>
    <n v="105"/>
    <n v="2"/>
    <n v="6"/>
    <n v="0"/>
    <x v="5"/>
    <m/>
    <x v="5"/>
    <m/>
    <m/>
    <m/>
    <m/>
    <m/>
    <m/>
    <m/>
    <m/>
    <m/>
    <m/>
    <m/>
    <m/>
    <m/>
    <m/>
    <m/>
    <x v="0"/>
    <s v="zegar-4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I14" firstHeaderRow="1" firstDataRow="2" firstDataCol="1" rowPageCount="1" colPageCount="1"/>
  <pivotFields count="79"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0">
        <item x="1"/>
        <item x="2"/>
        <item x="0"/>
        <item x="3"/>
        <item x="4"/>
        <item x="5"/>
        <item x="6"/>
        <item x="8"/>
        <item x="7"/>
        <item t="default"/>
      </items>
    </pivotField>
    <pivotField showAll="0"/>
    <pivotField axis="axisCol" showAll="0">
      <items count="8">
        <item x="1"/>
        <item x="2"/>
        <item x="0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5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76" hier="-1"/>
  </pageFields>
  <dataFields count="1">
    <dataField name="Liczba z Plec" fld="55" subtotal="count" baseField="5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30" zoomScaleNormal="130" workbookViewId="0">
      <selection activeCell="H17" sqref="H17"/>
    </sheetView>
  </sheetViews>
  <sheetFormatPr defaultRowHeight="14"/>
  <cols>
    <col min="1" max="2" width="17.83203125" bestFit="1" customWidth="1"/>
    <col min="3" max="8" width="2" bestFit="1" customWidth="1"/>
    <col min="9" max="9" width="14.4140625" bestFit="1" customWidth="1"/>
  </cols>
  <sheetData>
    <row r="1" spans="1:9" ht="15">
      <c r="A1" s="3" t="s">
        <v>151</v>
      </c>
      <c r="B1" t="s">
        <v>152</v>
      </c>
    </row>
    <row r="3" spans="1:9" ht="15">
      <c r="A3" s="3" t="s">
        <v>156</v>
      </c>
      <c r="B3" s="3" t="s">
        <v>155</v>
      </c>
    </row>
    <row r="4" spans="1:9">
      <c r="A4" s="3" t="s">
        <v>153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 t="s">
        <v>154</v>
      </c>
    </row>
    <row r="5" spans="1:9" ht="15">
      <c r="A5" s="4">
        <v>3</v>
      </c>
      <c r="B5">
        <v>6</v>
      </c>
      <c r="I5">
        <v>6</v>
      </c>
    </row>
    <row r="6" spans="1:9" ht="15">
      <c r="A6" s="4">
        <v>4</v>
      </c>
      <c r="B6">
        <v>2</v>
      </c>
      <c r="C6">
        <v>5</v>
      </c>
      <c r="I6">
        <v>7</v>
      </c>
    </row>
    <row r="7" spans="1:9" ht="15">
      <c r="A7" s="4">
        <v>5</v>
      </c>
      <c r="D7">
        <v>5</v>
      </c>
      <c r="I7">
        <v>5</v>
      </c>
    </row>
    <row r="8" spans="1:9" ht="15">
      <c r="A8" s="4">
        <v>6</v>
      </c>
      <c r="E8">
        <v>5</v>
      </c>
      <c r="I8">
        <v>5</v>
      </c>
    </row>
    <row r="9" spans="1:9" ht="15">
      <c r="A9" s="4">
        <v>7</v>
      </c>
      <c r="F9">
        <v>5</v>
      </c>
      <c r="I9">
        <v>5</v>
      </c>
    </row>
    <row r="10" spans="1:9" ht="15">
      <c r="A10" s="4">
        <v>8</v>
      </c>
      <c r="F10">
        <v>1</v>
      </c>
      <c r="G10">
        <v>6</v>
      </c>
      <c r="H10">
        <v>1</v>
      </c>
      <c r="I10">
        <v>8</v>
      </c>
    </row>
    <row r="11" spans="1:9" ht="15">
      <c r="A11" s="4">
        <v>9</v>
      </c>
      <c r="G11">
        <v>2</v>
      </c>
      <c r="H11">
        <v>3</v>
      </c>
      <c r="I11">
        <v>5</v>
      </c>
    </row>
    <row r="12" spans="1:9" ht="15">
      <c r="A12" s="4">
        <v>10</v>
      </c>
      <c r="H12">
        <v>1</v>
      </c>
      <c r="I12">
        <v>1</v>
      </c>
    </row>
    <row r="13" spans="1:9" ht="15">
      <c r="A13" s="4">
        <v>11</v>
      </c>
      <c r="H13">
        <v>1</v>
      </c>
      <c r="I13">
        <v>1</v>
      </c>
    </row>
    <row r="14" spans="1:9">
      <c r="A14" s="4" t="s">
        <v>154</v>
      </c>
      <c r="B14">
        <v>8</v>
      </c>
      <c r="C14">
        <v>5</v>
      </c>
      <c r="D14">
        <v>5</v>
      </c>
      <c r="E14">
        <v>5</v>
      </c>
      <c r="F14">
        <v>6</v>
      </c>
      <c r="G14">
        <v>8</v>
      </c>
      <c r="H14">
        <v>6</v>
      </c>
      <c r="I14">
        <v>43</v>
      </c>
    </row>
    <row r="17" spans="2:9" ht="15">
      <c r="B17">
        <v>4</v>
      </c>
      <c r="C17">
        <v>3</v>
      </c>
      <c r="D17">
        <v>3</v>
      </c>
      <c r="E17">
        <v>3</v>
      </c>
      <c r="F17">
        <v>3</v>
      </c>
      <c r="G17">
        <v>4</v>
      </c>
      <c r="H17">
        <v>5</v>
      </c>
      <c r="I17">
        <f>SUM(B17:H17)</f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B44"/>
  <sheetViews>
    <sheetView tabSelected="1" workbookViewId="0">
      <pane ySplit="1" topLeftCell="A2" activePane="bottomLeft" state="frozen"/>
      <selection activeCell="AI1" sqref="AI1"/>
      <selection pane="bottomLeft" activeCell="CH50" sqref="CH50"/>
    </sheetView>
  </sheetViews>
  <sheetFormatPr defaultRowHeight="14"/>
  <cols>
    <col min="4" max="8" width="0" hidden="1" customWidth="1"/>
    <col min="9" max="9" width="15.25" hidden="1" customWidth="1"/>
    <col min="10" max="10" width="15" customWidth="1"/>
    <col min="14" max="26" width="0" hidden="1" customWidth="1"/>
    <col min="28" max="53" width="0" hidden="1" customWidth="1"/>
    <col min="63" max="76" width="0" hidden="1" customWidth="1"/>
    <col min="79" max="79" width="0" hidden="1" customWidth="1"/>
  </cols>
  <sheetData>
    <row r="1" spans="1:7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145</v>
      </c>
      <c r="BH1" t="s">
        <v>146</v>
      </c>
      <c r="BI1" t="s">
        <v>147</v>
      </c>
      <c r="BJ1" t="s">
        <v>148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151</v>
      </c>
      <c r="BZ1" t="s">
        <v>72</v>
      </c>
      <c r="CA1" t="s">
        <v>73</v>
      </c>
    </row>
    <row r="2" spans="1:79" hidden="1">
      <c r="A2" t="s">
        <v>97</v>
      </c>
      <c r="C2" t="s">
        <v>99</v>
      </c>
      <c r="D2">
        <v>6</v>
      </c>
      <c r="E2">
        <v>8</v>
      </c>
      <c r="F2">
        <v>1</v>
      </c>
      <c r="G2" t="s">
        <v>77</v>
      </c>
      <c r="H2" t="s">
        <v>78</v>
      </c>
      <c r="I2" s="1">
        <v>45725</v>
      </c>
      <c r="J2" s="1">
        <v>45725</v>
      </c>
      <c r="K2">
        <v>1</v>
      </c>
      <c r="L2" t="s">
        <v>77</v>
      </c>
      <c r="M2" t="s">
        <v>101</v>
      </c>
      <c r="N2" t="s">
        <v>77</v>
      </c>
      <c r="O2" t="s">
        <v>77</v>
      </c>
      <c r="P2" t="s">
        <v>102</v>
      </c>
      <c r="Q2" t="s">
        <v>81</v>
      </c>
      <c r="R2" t="s">
        <v>82</v>
      </c>
      <c r="S2">
        <v>2</v>
      </c>
      <c r="T2" t="s">
        <v>83</v>
      </c>
      <c r="U2" t="s">
        <v>84</v>
      </c>
      <c r="V2">
        <v>2025</v>
      </c>
      <c r="W2">
        <v>1</v>
      </c>
      <c r="X2">
        <v>3</v>
      </c>
      <c r="Y2">
        <v>9</v>
      </c>
      <c r="AA2" t="s">
        <v>85</v>
      </c>
      <c r="AB2" t="s">
        <v>86</v>
      </c>
      <c r="AC2">
        <v>44</v>
      </c>
      <c r="AD2" s="2">
        <v>0.41666666666666669</v>
      </c>
      <c r="AE2">
        <v>1440</v>
      </c>
      <c r="AF2" t="s">
        <v>104</v>
      </c>
      <c r="AG2" t="s">
        <v>88</v>
      </c>
      <c r="AH2" t="s">
        <v>89</v>
      </c>
      <c r="AJ2">
        <v>54</v>
      </c>
      <c r="AK2">
        <v>25</v>
      </c>
      <c r="AL2">
        <v>19</v>
      </c>
      <c r="AM2">
        <v>42</v>
      </c>
      <c r="AN2">
        <v>2</v>
      </c>
      <c r="AO2">
        <v>2</v>
      </c>
      <c r="AP2">
        <v>2</v>
      </c>
      <c r="AQ2">
        <v>1</v>
      </c>
      <c r="AR2" t="s">
        <v>91</v>
      </c>
      <c r="AS2" t="s">
        <v>92</v>
      </c>
      <c r="AT2" t="s">
        <v>117</v>
      </c>
      <c r="AU2">
        <v>1</v>
      </c>
      <c r="AV2">
        <v>20</v>
      </c>
      <c r="AX2" t="s">
        <v>81</v>
      </c>
      <c r="AY2" t="s">
        <v>94</v>
      </c>
      <c r="AZ2">
        <v>0</v>
      </c>
      <c r="BB2">
        <v>40</v>
      </c>
      <c r="BC2">
        <v>66</v>
      </c>
      <c r="BD2">
        <v>1</v>
      </c>
      <c r="BE2">
        <v>5</v>
      </c>
      <c r="BF2">
        <v>0</v>
      </c>
      <c r="BG2">
        <v>5</v>
      </c>
      <c r="BI2">
        <v>5</v>
      </c>
      <c r="BQ2">
        <v>0</v>
      </c>
      <c r="BR2">
        <v>0</v>
      </c>
      <c r="BS2">
        <v>0</v>
      </c>
      <c r="BT2">
        <v>0</v>
      </c>
      <c r="BU2">
        <v>0</v>
      </c>
      <c r="BY2">
        <f>IF(BG2=BI2,1,0)</f>
        <v>1</v>
      </c>
      <c r="BZ2" t="s">
        <v>136</v>
      </c>
      <c r="CA2" t="s">
        <v>96</v>
      </c>
    </row>
    <row r="3" spans="1:79" hidden="1">
      <c r="A3" t="s">
        <v>97</v>
      </c>
      <c r="C3" t="s">
        <v>99</v>
      </c>
      <c r="D3">
        <v>6</v>
      </c>
      <c r="E3">
        <v>8</v>
      </c>
      <c r="F3">
        <v>1</v>
      </c>
      <c r="G3" t="s">
        <v>77</v>
      </c>
      <c r="H3" t="s">
        <v>78</v>
      </c>
      <c r="I3" s="1">
        <v>45725</v>
      </c>
      <c r="J3" s="1">
        <v>45725</v>
      </c>
      <c r="K3">
        <v>1</v>
      </c>
      <c r="L3" t="s">
        <v>77</v>
      </c>
      <c r="M3" t="s">
        <v>101</v>
      </c>
      <c r="N3" t="s">
        <v>77</v>
      </c>
      <c r="O3" t="s">
        <v>77</v>
      </c>
      <c r="P3" t="s">
        <v>102</v>
      </c>
      <c r="Q3" t="s">
        <v>81</v>
      </c>
      <c r="R3" t="s">
        <v>82</v>
      </c>
      <c r="S3">
        <v>2</v>
      </c>
      <c r="T3" t="s">
        <v>83</v>
      </c>
      <c r="U3" t="s">
        <v>84</v>
      </c>
      <c r="V3">
        <v>2025</v>
      </c>
      <c r="W3">
        <v>1</v>
      </c>
      <c r="X3">
        <v>3</v>
      </c>
      <c r="Y3">
        <v>9</v>
      </c>
      <c r="AA3" t="s">
        <v>85</v>
      </c>
      <c r="AB3" t="s">
        <v>86</v>
      </c>
      <c r="AC3">
        <v>44</v>
      </c>
      <c r="AD3" s="2">
        <v>0.41666666666666669</v>
      </c>
      <c r="AE3">
        <v>1440</v>
      </c>
      <c r="AF3" t="s">
        <v>104</v>
      </c>
      <c r="AG3" t="s">
        <v>88</v>
      </c>
      <c r="AH3" t="s">
        <v>89</v>
      </c>
      <c r="AJ3">
        <v>54</v>
      </c>
      <c r="AK3">
        <v>25</v>
      </c>
      <c r="AL3">
        <v>19</v>
      </c>
      <c r="AM3">
        <v>42</v>
      </c>
      <c r="AN3">
        <v>2</v>
      </c>
      <c r="AO3">
        <v>2</v>
      </c>
      <c r="AP3">
        <v>2</v>
      </c>
      <c r="AQ3">
        <v>1</v>
      </c>
      <c r="AR3" t="s">
        <v>91</v>
      </c>
      <c r="AS3" t="s">
        <v>92</v>
      </c>
      <c r="AT3" t="s">
        <v>117</v>
      </c>
      <c r="AU3">
        <v>1</v>
      </c>
      <c r="AV3">
        <v>20</v>
      </c>
      <c r="AX3" t="s">
        <v>81</v>
      </c>
      <c r="AY3" t="s">
        <v>94</v>
      </c>
      <c r="AZ3">
        <v>0</v>
      </c>
      <c r="BB3">
        <v>40</v>
      </c>
      <c r="BC3">
        <v>56</v>
      </c>
      <c r="BD3">
        <v>1</v>
      </c>
      <c r="BE3">
        <v>5</v>
      </c>
      <c r="BF3">
        <v>0</v>
      </c>
      <c r="BG3">
        <v>3</v>
      </c>
      <c r="BI3">
        <v>3</v>
      </c>
      <c r="BJ3" t="s">
        <v>150</v>
      </c>
      <c r="BQ3">
        <v>0</v>
      </c>
      <c r="BR3">
        <v>0</v>
      </c>
      <c r="BS3">
        <v>0</v>
      </c>
      <c r="BT3">
        <v>0</v>
      </c>
      <c r="BU3">
        <v>0</v>
      </c>
      <c r="BY3">
        <f t="shared" ref="BY3:BY44" si="0">IF(BG3=BI3,1,0)</f>
        <v>1</v>
      </c>
      <c r="BZ3" t="s">
        <v>137</v>
      </c>
      <c r="CA3" t="s">
        <v>96</v>
      </c>
    </row>
    <row r="4" spans="1:79" hidden="1">
      <c r="A4" t="s">
        <v>97</v>
      </c>
      <c r="C4" t="s">
        <v>99</v>
      </c>
      <c r="D4">
        <v>6</v>
      </c>
      <c r="E4">
        <v>8</v>
      </c>
      <c r="F4">
        <v>1</v>
      </c>
      <c r="G4" t="s">
        <v>77</v>
      </c>
      <c r="H4" t="s">
        <v>78</v>
      </c>
      <c r="I4" s="1">
        <v>45725</v>
      </c>
      <c r="J4" s="1">
        <v>45725</v>
      </c>
      <c r="K4">
        <v>1</v>
      </c>
      <c r="L4" t="s">
        <v>77</v>
      </c>
      <c r="M4" t="s">
        <v>101</v>
      </c>
      <c r="N4" t="s">
        <v>77</v>
      </c>
      <c r="O4" t="s">
        <v>77</v>
      </c>
      <c r="P4" t="s">
        <v>102</v>
      </c>
      <c r="Q4" t="s">
        <v>81</v>
      </c>
      <c r="R4" t="s">
        <v>82</v>
      </c>
      <c r="S4">
        <v>2</v>
      </c>
      <c r="T4" t="s">
        <v>83</v>
      </c>
      <c r="U4" t="s">
        <v>84</v>
      </c>
      <c r="V4">
        <v>2025</v>
      </c>
      <c r="W4">
        <v>1</v>
      </c>
      <c r="X4">
        <v>3</v>
      </c>
      <c r="Y4">
        <v>9</v>
      </c>
      <c r="AA4" t="s">
        <v>85</v>
      </c>
      <c r="AB4" t="s">
        <v>86</v>
      </c>
      <c r="AC4">
        <v>44</v>
      </c>
      <c r="AD4" s="2">
        <v>0.41666666666666669</v>
      </c>
      <c r="AE4">
        <v>1440</v>
      </c>
      <c r="AF4" t="s">
        <v>104</v>
      </c>
      <c r="AG4" t="s">
        <v>88</v>
      </c>
      <c r="AH4" t="s">
        <v>89</v>
      </c>
      <c r="AJ4">
        <v>54</v>
      </c>
      <c r="AK4">
        <v>25</v>
      </c>
      <c r="AL4">
        <v>19</v>
      </c>
      <c r="AM4">
        <v>42</v>
      </c>
      <c r="AN4">
        <v>2</v>
      </c>
      <c r="AO4">
        <v>2</v>
      </c>
      <c r="AP4">
        <v>2</v>
      </c>
      <c r="AQ4">
        <v>1</v>
      </c>
      <c r="AR4" t="s">
        <v>91</v>
      </c>
      <c r="AS4" t="s">
        <v>92</v>
      </c>
      <c r="AT4" t="s">
        <v>117</v>
      </c>
      <c r="AU4">
        <v>1</v>
      </c>
      <c r="AV4">
        <v>20</v>
      </c>
      <c r="AX4" t="s">
        <v>81</v>
      </c>
      <c r="AY4" t="s">
        <v>94</v>
      </c>
      <c r="AZ4">
        <v>0</v>
      </c>
      <c r="BB4">
        <v>40</v>
      </c>
      <c r="BC4">
        <v>55</v>
      </c>
      <c r="BD4">
        <v>1</v>
      </c>
      <c r="BE4">
        <v>5</v>
      </c>
      <c r="BF4">
        <v>0</v>
      </c>
      <c r="BG4">
        <v>4</v>
      </c>
      <c r="BI4">
        <v>3</v>
      </c>
      <c r="BQ4">
        <v>0</v>
      </c>
      <c r="BR4">
        <v>0</v>
      </c>
      <c r="BS4">
        <v>0</v>
      </c>
      <c r="BT4">
        <v>0</v>
      </c>
      <c r="BU4">
        <v>0</v>
      </c>
      <c r="BY4">
        <f t="shared" si="0"/>
        <v>0</v>
      </c>
      <c r="BZ4" t="s">
        <v>138</v>
      </c>
      <c r="CA4" t="s">
        <v>96</v>
      </c>
    </row>
    <row r="5" spans="1:79" hidden="1">
      <c r="A5" t="s">
        <v>97</v>
      </c>
      <c r="C5" t="s">
        <v>99</v>
      </c>
      <c r="D5">
        <v>6</v>
      </c>
      <c r="E5">
        <v>8</v>
      </c>
      <c r="F5">
        <v>1</v>
      </c>
      <c r="G5" t="s">
        <v>77</v>
      </c>
      <c r="H5" t="s">
        <v>78</v>
      </c>
      <c r="I5" s="1">
        <v>45725</v>
      </c>
      <c r="J5" s="1">
        <v>45725</v>
      </c>
      <c r="K5">
        <v>1</v>
      </c>
      <c r="L5" t="s">
        <v>77</v>
      </c>
      <c r="M5" t="s">
        <v>101</v>
      </c>
      <c r="N5" t="s">
        <v>77</v>
      </c>
      <c r="O5" t="s">
        <v>77</v>
      </c>
      <c r="P5" t="s">
        <v>102</v>
      </c>
      <c r="Q5" t="s">
        <v>81</v>
      </c>
      <c r="R5" t="s">
        <v>82</v>
      </c>
      <c r="S5">
        <v>2</v>
      </c>
      <c r="T5" t="s">
        <v>83</v>
      </c>
      <c r="U5" t="s">
        <v>84</v>
      </c>
      <c r="V5">
        <v>2025</v>
      </c>
      <c r="W5">
        <v>1</v>
      </c>
      <c r="X5">
        <v>3</v>
      </c>
      <c r="Y5">
        <v>9</v>
      </c>
      <c r="AA5" t="s">
        <v>85</v>
      </c>
      <c r="AB5" t="s">
        <v>86</v>
      </c>
      <c r="AC5">
        <v>44</v>
      </c>
      <c r="AD5" s="2">
        <v>0.41666666666666669</v>
      </c>
      <c r="AE5">
        <v>1440</v>
      </c>
      <c r="AF5" t="s">
        <v>104</v>
      </c>
      <c r="AG5" t="s">
        <v>88</v>
      </c>
      <c r="AH5" t="s">
        <v>89</v>
      </c>
      <c r="AJ5">
        <v>54</v>
      </c>
      <c r="AK5">
        <v>25</v>
      </c>
      <c r="AL5">
        <v>19</v>
      </c>
      <c r="AM5">
        <v>42</v>
      </c>
      <c r="AN5">
        <v>2</v>
      </c>
      <c r="AO5">
        <v>2</v>
      </c>
      <c r="AP5">
        <v>2</v>
      </c>
      <c r="AQ5">
        <v>1</v>
      </c>
      <c r="AR5" t="s">
        <v>91</v>
      </c>
      <c r="AS5" t="s">
        <v>92</v>
      </c>
      <c r="AT5" t="s">
        <v>117</v>
      </c>
      <c r="AU5">
        <v>1</v>
      </c>
      <c r="AV5">
        <v>20</v>
      </c>
      <c r="AX5" t="s">
        <v>81</v>
      </c>
      <c r="AY5" t="s">
        <v>94</v>
      </c>
      <c r="AZ5">
        <v>0</v>
      </c>
      <c r="BB5">
        <v>40</v>
      </c>
      <c r="BC5">
        <v>59</v>
      </c>
      <c r="BD5">
        <v>1</v>
      </c>
      <c r="BE5">
        <v>5</v>
      </c>
      <c r="BF5">
        <v>0</v>
      </c>
      <c r="BG5">
        <v>3</v>
      </c>
      <c r="BI5">
        <v>3</v>
      </c>
      <c r="BQ5">
        <v>0</v>
      </c>
      <c r="BR5">
        <v>0</v>
      </c>
      <c r="BS5">
        <v>0</v>
      </c>
      <c r="BT5">
        <v>0</v>
      </c>
      <c r="BU5">
        <v>0</v>
      </c>
      <c r="BY5">
        <f t="shared" si="0"/>
        <v>1</v>
      </c>
      <c r="BZ5" t="s">
        <v>139</v>
      </c>
      <c r="CA5" t="s">
        <v>96</v>
      </c>
    </row>
    <row r="6" spans="1:79" hidden="1">
      <c r="A6" t="s">
        <v>97</v>
      </c>
      <c r="C6" t="s">
        <v>99</v>
      </c>
      <c r="D6">
        <v>6</v>
      </c>
      <c r="E6">
        <v>8</v>
      </c>
      <c r="F6">
        <v>1</v>
      </c>
      <c r="G6" t="s">
        <v>77</v>
      </c>
      <c r="H6" t="s">
        <v>78</v>
      </c>
      <c r="I6" s="1">
        <v>45725</v>
      </c>
      <c r="J6" s="1">
        <v>45725</v>
      </c>
      <c r="K6">
        <v>1</v>
      </c>
      <c r="L6" t="s">
        <v>77</v>
      </c>
      <c r="M6" t="s">
        <v>101</v>
      </c>
      <c r="N6" t="s">
        <v>77</v>
      </c>
      <c r="O6" t="s">
        <v>77</v>
      </c>
      <c r="P6" t="s">
        <v>102</v>
      </c>
      <c r="Q6" t="s">
        <v>81</v>
      </c>
      <c r="R6" t="s">
        <v>82</v>
      </c>
      <c r="S6">
        <v>2</v>
      </c>
      <c r="T6" t="s">
        <v>83</v>
      </c>
      <c r="U6" t="s">
        <v>84</v>
      </c>
      <c r="V6">
        <v>2025</v>
      </c>
      <c r="W6">
        <v>1</v>
      </c>
      <c r="X6">
        <v>3</v>
      </c>
      <c r="Y6">
        <v>9</v>
      </c>
      <c r="AA6" t="s">
        <v>85</v>
      </c>
      <c r="AB6" t="s">
        <v>86</v>
      </c>
      <c r="AC6">
        <v>44</v>
      </c>
      <c r="AD6" s="2">
        <v>0.41666666666666669</v>
      </c>
      <c r="AE6">
        <v>1440</v>
      </c>
      <c r="AF6" t="s">
        <v>104</v>
      </c>
      <c r="AG6" t="s">
        <v>88</v>
      </c>
      <c r="AH6" t="s">
        <v>89</v>
      </c>
      <c r="AJ6">
        <v>54</v>
      </c>
      <c r="AK6">
        <v>25</v>
      </c>
      <c r="AL6">
        <v>19</v>
      </c>
      <c r="AM6">
        <v>42</v>
      </c>
      <c r="AN6">
        <v>2</v>
      </c>
      <c r="AO6">
        <v>2</v>
      </c>
      <c r="AP6">
        <v>2</v>
      </c>
      <c r="AQ6">
        <v>1</v>
      </c>
      <c r="AR6" t="s">
        <v>91</v>
      </c>
      <c r="AS6" t="s">
        <v>92</v>
      </c>
      <c r="AT6" t="s">
        <v>117</v>
      </c>
      <c r="AU6">
        <v>1</v>
      </c>
      <c r="AV6">
        <v>20</v>
      </c>
      <c r="AX6" t="s">
        <v>81</v>
      </c>
      <c r="AY6" t="s">
        <v>94</v>
      </c>
      <c r="AZ6">
        <v>0</v>
      </c>
      <c r="BB6">
        <v>41</v>
      </c>
      <c r="BC6">
        <v>66</v>
      </c>
      <c r="BD6">
        <v>1</v>
      </c>
      <c r="BE6">
        <v>5</v>
      </c>
      <c r="BF6">
        <v>0</v>
      </c>
      <c r="BG6">
        <v>4</v>
      </c>
      <c r="BI6">
        <v>3</v>
      </c>
      <c r="BQ6">
        <v>0</v>
      </c>
      <c r="BR6">
        <v>0</v>
      </c>
      <c r="BS6">
        <v>0</v>
      </c>
      <c r="BT6">
        <v>0</v>
      </c>
      <c r="BU6">
        <v>0</v>
      </c>
      <c r="BY6">
        <f t="shared" si="0"/>
        <v>0</v>
      </c>
      <c r="BZ6" t="s">
        <v>140</v>
      </c>
      <c r="CA6" t="s">
        <v>96</v>
      </c>
    </row>
    <row r="7" spans="1:79" hidden="1">
      <c r="A7" t="s">
        <v>97</v>
      </c>
      <c r="C7" t="s">
        <v>99</v>
      </c>
      <c r="D7">
        <v>6</v>
      </c>
      <c r="E7">
        <v>8</v>
      </c>
      <c r="F7">
        <v>1</v>
      </c>
      <c r="G7" t="s">
        <v>77</v>
      </c>
      <c r="H7" t="s">
        <v>78</v>
      </c>
      <c r="I7" s="1">
        <v>45725</v>
      </c>
      <c r="J7" s="1">
        <v>45725</v>
      </c>
      <c r="K7">
        <v>1</v>
      </c>
      <c r="L7" t="s">
        <v>77</v>
      </c>
      <c r="M7" t="s">
        <v>101</v>
      </c>
      <c r="N7" t="s">
        <v>77</v>
      </c>
      <c r="O7" t="s">
        <v>77</v>
      </c>
      <c r="P7" t="s">
        <v>102</v>
      </c>
      <c r="Q7" t="s">
        <v>81</v>
      </c>
      <c r="R7" t="s">
        <v>82</v>
      </c>
      <c r="S7">
        <v>2</v>
      </c>
      <c r="T7" t="s">
        <v>83</v>
      </c>
      <c r="U7" t="s">
        <v>84</v>
      </c>
      <c r="V7">
        <v>2025</v>
      </c>
      <c r="W7">
        <v>1</v>
      </c>
      <c r="X7">
        <v>3</v>
      </c>
      <c r="Y7">
        <v>9</v>
      </c>
      <c r="AA7" t="s">
        <v>85</v>
      </c>
      <c r="AB7" t="s">
        <v>86</v>
      </c>
      <c r="AC7">
        <v>44</v>
      </c>
      <c r="AD7" s="2">
        <v>0.41666666666666669</v>
      </c>
      <c r="AE7">
        <v>1440</v>
      </c>
      <c r="AF7" t="s">
        <v>104</v>
      </c>
      <c r="AG7" t="s">
        <v>88</v>
      </c>
      <c r="AH7" t="s">
        <v>89</v>
      </c>
      <c r="AJ7">
        <v>54</v>
      </c>
      <c r="AK7">
        <v>25</v>
      </c>
      <c r="AL7">
        <v>19</v>
      </c>
      <c r="AM7">
        <v>42</v>
      </c>
      <c r="AN7">
        <v>2</v>
      </c>
      <c r="AO7">
        <v>2</v>
      </c>
      <c r="AP7">
        <v>2</v>
      </c>
      <c r="AQ7">
        <v>1</v>
      </c>
      <c r="AR7" t="s">
        <v>91</v>
      </c>
      <c r="AS7" t="s">
        <v>92</v>
      </c>
      <c r="AT7" t="s">
        <v>117</v>
      </c>
      <c r="AU7">
        <v>1</v>
      </c>
      <c r="AV7">
        <v>20</v>
      </c>
      <c r="AX7" t="s">
        <v>81</v>
      </c>
      <c r="AY7" t="s">
        <v>94</v>
      </c>
      <c r="AZ7">
        <v>0</v>
      </c>
      <c r="BB7">
        <v>41</v>
      </c>
      <c r="BC7">
        <v>67</v>
      </c>
      <c r="BD7">
        <v>1</v>
      </c>
      <c r="BE7">
        <v>6</v>
      </c>
      <c r="BF7">
        <v>0</v>
      </c>
      <c r="BG7">
        <v>3</v>
      </c>
      <c r="BI7">
        <v>3</v>
      </c>
      <c r="BQ7">
        <v>0</v>
      </c>
      <c r="BR7">
        <v>0</v>
      </c>
      <c r="BS7">
        <v>0</v>
      </c>
      <c r="BT7">
        <v>0</v>
      </c>
      <c r="BU7">
        <v>0</v>
      </c>
      <c r="BY7">
        <f t="shared" si="0"/>
        <v>1</v>
      </c>
      <c r="BZ7" t="s">
        <v>141</v>
      </c>
      <c r="CA7" t="s">
        <v>96</v>
      </c>
    </row>
    <row r="8" spans="1:79" hidden="1">
      <c r="A8" t="s">
        <v>97</v>
      </c>
      <c r="C8" t="s">
        <v>99</v>
      </c>
      <c r="D8">
        <v>6</v>
      </c>
      <c r="E8">
        <v>8</v>
      </c>
      <c r="F8">
        <v>1</v>
      </c>
      <c r="G8" t="s">
        <v>77</v>
      </c>
      <c r="H8" t="s">
        <v>78</v>
      </c>
      <c r="I8" s="1">
        <v>45725</v>
      </c>
      <c r="J8" s="1">
        <v>45725</v>
      </c>
      <c r="K8">
        <v>1</v>
      </c>
      <c r="L8" t="s">
        <v>77</v>
      </c>
      <c r="M8" t="s">
        <v>101</v>
      </c>
      <c r="N8" t="s">
        <v>77</v>
      </c>
      <c r="O8" t="s">
        <v>77</v>
      </c>
      <c r="P8" t="s">
        <v>102</v>
      </c>
      <c r="Q8" t="s">
        <v>81</v>
      </c>
      <c r="R8" t="s">
        <v>82</v>
      </c>
      <c r="S8">
        <v>2</v>
      </c>
      <c r="T8" t="s">
        <v>83</v>
      </c>
      <c r="U8" t="s">
        <v>84</v>
      </c>
      <c r="V8">
        <v>2025</v>
      </c>
      <c r="W8">
        <v>1</v>
      </c>
      <c r="X8">
        <v>3</v>
      </c>
      <c r="Y8">
        <v>9</v>
      </c>
      <c r="AA8" t="s">
        <v>85</v>
      </c>
      <c r="AB8" t="s">
        <v>86</v>
      </c>
      <c r="AC8">
        <v>44</v>
      </c>
      <c r="AD8" s="2">
        <v>0.41666666666666669</v>
      </c>
      <c r="AE8">
        <v>1440</v>
      </c>
      <c r="AF8" t="s">
        <v>104</v>
      </c>
      <c r="AG8" t="s">
        <v>88</v>
      </c>
      <c r="AH8" t="s">
        <v>89</v>
      </c>
      <c r="AJ8">
        <v>54</v>
      </c>
      <c r="AK8">
        <v>25</v>
      </c>
      <c r="AL8">
        <v>19</v>
      </c>
      <c r="AM8">
        <v>42</v>
      </c>
      <c r="AN8">
        <v>2</v>
      </c>
      <c r="AO8">
        <v>2</v>
      </c>
      <c r="AP8">
        <v>2</v>
      </c>
      <c r="AQ8">
        <v>1</v>
      </c>
      <c r="AR8" t="s">
        <v>91</v>
      </c>
      <c r="AS8" t="s">
        <v>92</v>
      </c>
      <c r="AT8" t="s">
        <v>117</v>
      </c>
      <c r="AU8">
        <v>1</v>
      </c>
      <c r="AV8">
        <v>20</v>
      </c>
      <c r="AX8" t="s">
        <v>81</v>
      </c>
      <c r="AY8" t="s">
        <v>94</v>
      </c>
      <c r="AZ8">
        <v>0</v>
      </c>
      <c r="BB8">
        <v>41</v>
      </c>
      <c r="BC8">
        <v>64</v>
      </c>
      <c r="BD8">
        <v>2</v>
      </c>
      <c r="BE8">
        <v>6</v>
      </c>
      <c r="BF8">
        <v>0</v>
      </c>
      <c r="BG8">
        <v>3</v>
      </c>
      <c r="BI8">
        <v>3</v>
      </c>
      <c r="BQ8">
        <v>0</v>
      </c>
      <c r="BR8">
        <v>0</v>
      </c>
      <c r="BS8">
        <v>0</v>
      </c>
      <c r="BT8">
        <v>0</v>
      </c>
      <c r="BU8">
        <v>0</v>
      </c>
      <c r="BY8">
        <f t="shared" si="0"/>
        <v>1</v>
      </c>
      <c r="BZ8" t="s">
        <v>142</v>
      </c>
      <c r="CA8" t="s">
        <v>96</v>
      </c>
    </row>
    <row r="9" spans="1:79" hidden="1">
      <c r="A9" t="s">
        <v>97</v>
      </c>
      <c r="C9" t="s">
        <v>99</v>
      </c>
      <c r="D9">
        <v>6</v>
      </c>
      <c r="E9">
        <v>8</v>
      </c>
      <c r="F9">
        <v>1</v>
      </c>
      <c r="G9" t="s">
        <v>77</v>
      </c>
      <c r="H9" t="s">
        <v>78</v>
      </c>
      <c r="I9" s="1">
        <v>45725</v>
      </c>
      <c r="J9" s="1">
        <v>45725</v>
      </c>
      <c r="K9">
        <v>1</v>
      </c>
      <c r="L9" t="s">
        <v>77</v>
      </c>
      <c r="M9" t="s">
        <v>101</v>
      </c>
      <c r="N9" t="s">
        <v>77</v>
      </c>
      <c r="O9" t="s">
        <v>77</v>
      </c>
      <c r="P9" t="s">
        <v>102</v>
      </c>
      <c r="Q9" t="s">
        <v>81</v>
      </c>
      <c r="R9" t="s">
        <v>82</v>
      </c>
      <c r="S9">
        <v>2</v>
      </c>
      <c r="T9" t="s">
        <v>83</v>
      </c>
      <c r="U9" t="s">
        <v>84</v>
      </c>
      <c r="V9">
        <v>2025</v>
      </c>
      <c r="W9">
        <v>1</v>
      </c>
      <c r="X9">
        <v>3</v>
      </c>
      <c r="Y9">
        <v>9</v>
      </c>
      <c r="AA9" t="s">
        <v>85</v>
      </c>
      <c r="AB9" t="s">
        <v>86</v>
      </c>
      <c r="AC9">
        <v>44</v>
      </c>
      <c r="AD9" s="2">
        <v>0.41666666666666669</v>
      </c>
      <c r="AE9">
        <v>1440</v>
      </c>
      <c r="AF9" t="s">
        <v>104</v>
      </c>
      <c r="AG9" t="s">
        <v>88</v>
      </c>
      <c r="AH9" t="s">
        <v>89</v>
      </c>
      <c r="AJ9">
        <v>54</v>
      </c>
      <c r="AK9">
        <v>25</v>
      </c>
      <c r="AL9">
        <v>19</v>
      </c>
      <c r="AM9">
        <v>42</v>
      </c>
      <c r="AN9">
        <v>2</v>
      </c>
      <c r="AO9">
        <v>2</v>
      </c>
      <c r="AP9">
        <v>2</v>
      </c>
      <c r="AQ9">
        <v>1</v>
      </c>
      <c r="AR9" t="s">
        <v>91</v>
      </c>
      <c r="AS9" t="s">
        <v>92</v>
      </c>
      <c r="AT9" t="s">
        <v>117</v>
      </c>
      <c r="AU9">
        <v>1</v>
      </c>
      <c r="AV9">
        <v>20</v>
      </c>
      <c r="AX9" t="s">
        <v>81</v>
      </c>
      <c r="AY9" t="s">
        <v>94</v>
      </c>
      <c r="AZ9">
        <v>0</v>
      </c>
      <c r="BB9">
        <v>42</v>
      </c>
      <c r="BC9">
        <v>67</v>
      </c>
      <c r="BD9">
        <v>1</v>
      </c>
      <c r="BE9">
        <v>6</v>
      </c>
      <c r="BF9">
        <v>0</v>
      </c>
      <c r="BG9">
        <v>4</v>
      </c>
      <c r="BI9">
        <v>4</v>
      </c>
      <c r="BQ9">
        <v>0</v>
      </c>
      <c r="BR9">
        <v>0</v>
      </c>
      <c r="BS9">
        <v>0</v>
      </c>
      <c r="BT9">
        <v>0</v>
      </c>
      <c r="BU9">
        <v>0</v>
      </c>
      <c r="BY9">
        <f t="shared" si="0"/>
        <v>1</v>
      </c>
      <c r="BZ9" t="s">
        <v>143</v>
      </c>
      <c r="CA9" t="s">
        <v>96</v>
      </c>
    </row>
    <row r="10" spans="1:79" hidden="1">
      <c r="A10" t="s">
        <v>97</v>
      </c>
      <c r="C10" t="s">
        <v>99</v>
      </c>
      <c r="D10">
        <v>6</v>
      </c>
      <c r="E10">
        <v>8</v>
      </c>
      <c r="F10">
        <v>1</v>
      </c>
      <c r="G10" t="s">
        <v>77</v>
      </c>
      <c r="H10" t="s">
        <v>78</v>
      </c>
      <c r="I10" s="1">
        <v>45725</v>
      </c>
      <c r="J10" s="1">
        <v>45725</v>
      </c>
      <c r="K10">
        <v>1</v>
      </c>
      <c r="L10" t="s">
        <v>77</v>
      </c>
      <c r="M10" t="s">
        <v>101</v>
      </c>
      <c r="N10" t="s">
        <v>77</v>
      </c>
      <c r="O10" t="s">
        <v>77</v>
      </c>
      <c r="P10" t="s">
        <v>102</v>
      </c>
      <c r="Q10" t="s">
        <v>81</v>
      </c>
      <c r="R10" t="s">
        <v>82</v>
      </c>
      <c r="S10">
        <v>2</v>
      </c>
      <c r="T10" t="s">
        <v>83</v>
      </c>
      <c r="U10" t="s">
        <v>84</v>
      </c>
      <c r="V10">
        <v>2025</v>
      </c>
      <c r="W10">
        <v>1</v>
      </c>
      <c r="X10">
        <v>3</v>
      </c>
      <c r="Y10">
        <v>9</v>
      </c>
      <c r="AA10" t="s">
        <v>85</v>
      </c>
      <c r="AB10" t="s">
        <v>86</v>
      </c>
      <c r="AC10">
        <v>44</v>
      </c>
      <c r="AD10" s="2">
        <v>0.41666666666666669</v>
      </c>
      <c r="AE10">
        <v>1440</v>
      </c>
      <c r="AF10" t="s">
        <v>104</v>
      </c>
      <c r="AG10" t="s">
        <v>88</v>
      </c>
      <c r="AH10" t="s">
        <v>89</v>
      </c>
      <c r="AJ10">
        <v>54</v>
      </c>
      <c r="AK10">
        <v>25</v>
      </c>
      <c r="AL10">
        <v>19</v>
      </c>
      <c r="AM10">
        <v>42</v>
      </c>
      <c r="AN10">
        <v>2</v>
      </c>
      <c r="AO10">
        <v>2</v>
      </c>
      <c r="AP10">
        <v>2</v>
      </c>
      <c r="AQ10">
        <v>1</v>
      </c>
      <c r="AR10" t="s">
        <v>91</v>
      </c>
      <c r="AS10" t="s">
        <v>92</v>
      </c>
      <c r="AT10" t="s">
        <v>117</v>
      </c>
      <c r="AU10">
        <v>1</v>
      </c>
      <c r="AV10">
        <v>20</v>
      </c>
      <c r="AX10" t="s">
        <v>81</v>
      </c>
      <c r="AY10" t="s">
        <v>94</v>
      </c>
      <c r="AZ10">
        <v>0</v>
      </c>
      <c r="BB10">
        <v>42</v>
      </c>
      <c r="BC10">
        <v>78</v>
      </c>
      <c r="BD10">
        <v>2</v>
      </c>
      <c r="BE10">
        <v>6</v>
      </c>
      <c r="BF10">
        <v>0</v>
      </c>
      <c r="BG10">
        <v>6</v>
      </c>
      <c r="BI10">
        <v>6</v>
      </c>
      <c r="BQ10">
        <v>0</v>
      </c>
      <c r="BR10">
        <v>0</v>
      </c>
      <c r="BS10">
        <v>0</v>
      </c>
      <c r="BT10">
        <v>0</v>
      </c>
      <c r="BU10">
        <v>0</v>
      </c>
      <c r="BY10">
        <f t="shared" si="0"/>
        <v>1</v>
      </c>
      <c r="BZ10" t="s">
        <v>144</v>
      </c>
      <c r="CA10" t="s">
        <v>96</v>
      </c>
    </row>
    <row r="11" spans="1:79" hidden="1">
      <c r="A11" t="s">
        <v>97</v>
      </c>
      <c r="C11" t="s">
        <v>99</v>
      </c>
      <c r="D11">
        <v>6</v>
      </c>
      <c r="E11">
        <v>8</v>
      </c>
      <c r="F11">
        <v>1</v>
      </c>
      <c r="G11" t="s">
        <v>77</v>
      </c>
      <c r="H11" t="s">
        <v>78</v>
      </c>
      <c r="I11" s="1">
        <v>45725</v>
      </c>
      <c r="J11" s="1">
        <v>45725</v>
      </c>
      <c r="K11">
        <v>1</v>
      </c>
      <c r="L11" t="s">
        <v>77</v>
      </c>
      <c r="M11" t="s">
        <v>101</v>
      </c>
      <c r="N11" t="s">
        <v>77</v>
      </c>
      <c r="O11" t="s">
        <v>77</v>
      </c>
      <c r="P11" t="s">
        <v>102</v>
      </c>
      <c r="Q11" t="s">
        <v>81</v>
      </c>
      <c r="R11" t="s">
        <v>82</v>
      </c>
      <c r="S11">
        <v>2</v>
      </c>
      <c r="T11" t="s">
        <v>83</v>
      </c>
      <c r="U11" t="s">
        <v>84</v>
      </c>
      <c r="V11">
        <v>2025</v>
      </c>
      <c r="W11">
        <v>1</v>
      </c>
      <c r="X11">
        <v>3</v>
      </c>
      <c r="Y11">
        <v>9</v>
      </c>
      <c r="AA11" t="s">
        <v>85</v>
      </c>
      <c r="AB11" t="s">
        <v>86</v>
      </c>
      <c r="AC11">
        <v>44</v>
      </c>
      <c r="AD11" s="2">
        <v>0.41666666666666669</v>
      </c>
      <c r="AE11">
        <v>1440</v>
      </c>
      <c r="AF11" t="s">
        <v>104</v>
      </c>
      <c r="AG11" t="s">
        <v>88</v>
      </c>
      <c r="AH11" t="s">
        <v>89</v>
      </c>
      <c r="AJ11">
        <v>54</v>
      </c>
      <c r="AK11">
        <v>25</v>
      </c>
      <c r="AL11">
        <v>19</v>
      </c>
      <c r="AM11">
        <v>42</v>
      </c>
      <c r="AN11">
        <v>2</v>
      </c>
      <c r="AO11">
        <v>2</v>
      </c>
      <c r="AP11">
        <v>2</v>
      </c>
      <c r="AQ11">
        <v>1</v>
      </c>
      <c r="AR11" t="s">
        <v>91</v>
      </c>
      <c r="AS11" t="s">
        <v>92</v>
      </c>
      <c r="AT11" t="s">
        <v>117</v>
      </c>
      <c r="AU11">
        <v>1</v>
      </c>
      <c r="AV11">
        <v>20</v>
      </c>
      <c r="AX11" t="s">
        <v>81</v>
      </c>
      <c r="AY11" t="s">
        <v>94</v>
      </c>
      <c r="AZ11">
        <v>0</v>
      </c>
      <c r="BB11">
        <v>42</v>
      </c>
      <c r="BC11">
        <v>71</v>
      </c>
      <c r="BD11">
        <v>1</v>
      </c>
      <c r="BE11">
        <v>6</v>
      </c>
      <c r="BF11">
        <v>0</v>
      </c>
      <c r="BG11">
        <v>5</v>
      </c>
      <c r="BI11">
        <v>5</v>
      </c>
      <c r="BQ11">
        <v>0</v>
      </c>
      <c r="BR11">
        <v>0</v>
      </c>
      <c r="BS11">
        <v>0</v>
      </c>
      <c r="BT11">
        <v>0</v>
      </c>
      <c r="BU11">
        <v>0</v>
      </c>
      <c r="BY11">
        <f t="shared" si="0"/>
        <v>1</v>
      </c>
      <c r="BZ11" t="s">
        <v>119</v>
      </c>
      <c r="CA11" t="s">
        <v>96</v>
      </c>
    </row>
    <row r="12" spans="1:79" hidden="1">
      <c r="A12" t="s">
        <v>97</v>
      </c>
      <c r="C12" t="s">
        <v>99</v>
      </c>
      <c r="D12">
        <v>6</v>
      </c>
      <c r="E12">
        <v>8</v>
      </c>
      <c r="F12">
        <v>1</v>
      </c>
      <c r="G12" t="s">
        <v>77</v>
      </c>
      <c r="H12" t="s">
        <v>78</v>
      </c>
      <c r="I12" s="1">
        <v>45725</v>
      </c>
      <c r="J12" s="1">
        <v>45725</v>
      </c>
      <c r="K12">
        <v>1</v>
      </c>
      <c r="L12" t="s">
        <v>77</v>
      </c>
      <c r="M12" t="s">
        <v>101</v>
      </c>
      <c r="N12" t="s">
        <v>77</v>
      </c>
      <c r="O12" t="s">
        <v>77</v>
      </c>
      <c r="P12" t="s">
        <v>102</v>
      </c>
      <c r="Q12" t="s">
        <v>81</v>
      </c>
      <c r="R12" t="s">
        <v>82</v>
      </c>
      <c r="S12">
        <v>2</v>
      </c>
      <c r="T12" t="s">
        <v>83</v>
      </c>
      <c r="U12" t="s">
        <v>84</v>
      </c>
      <c r="V12">
        <v>2025</v>
      </c>
      <c r="W12">
        <v>1</v>
      </c>
      <c r="X12">
        <v>3</v>
      </c>
      <c r="Y12">
        <v>9</v>
      </c>
      <c r="AA12" t="s">
        <v>85</v>
      </c>
      <c r="AB12" t="s">
        <v>86</v>
      </c>
      <c r="AC12">
        <v>44</v>
      </c>
      <c r="AD12" s="2">
        <v>0.41666666666666669</v>
      </c>
      <c r="AE12">
        <v>1440</v>
      </c>
      <c r="AF12" t="s">
        <v>104</v>
      </c>
      <c r="AG12" t="s">
        <v>88</v>
      </c>
      <c r="AH12" t="s">
        <v>89</v>
      </c>
      <c r="AJ12">
        <v>54</v>
      </c>
      <c r="AK12">
        <v>25</v>
      </c>
      <c r="AL12">
        <v>19</v>
      </c>
      <c r="AM12">
        <v>42</v>
      </c>
      <c r="AN12">
        <v>2</v>
      </c>
      <c r="AO12">
        <v>2</v>
      </c>
      <c r="AP12">
        <v>2</v>
      </c>
      <c r="AQ12">
        <v>1</v>
      </c>
      <c r="AR12" t="s">
        <v>91</v>
      </c>
      <c r="AS12" t="s">
        <v>92</v>
      </c>
      <c r="AT12" t="s">
        <v>117</v>
      </c>
      <c r="AU12">
        <v>1</v>
      </c>
      <c r="AV12">
        <v>20</v>
      </c>
      <c r="AX12" t="s">
        <v>81</v>
      </c>
      <c r="AY12" t="s">
        <v>94</v>
      </c>
      <c r="AZ12">
        <v>0</v>
      </c>
      <c r="BB12">
        <v>42</v>
      </c>
      <c r="BC12">
        <v>80</v>
      </c>
      <c r="BD12">
        <v>2</v>
      </c>
      <c r="BE12">
        <v>4</v>
      </c>
      <c r="BF12">
        <v>0</v>
      </c>
      <c r="BG12">
        <v>4</v>
      </c>
      <c r="BI12">
        <v>4</v>
      </c>
      <c r="BQ12">
        <v>0</v>
      </c>
      <c r="BR12">
        <v>0</v>
      </c>
      <c r="BS12">
        <v>0</v>
      </c>
      <c r="BT12">
        <v>0</v>
      </c>
      <c r="BU12">
        <v>0</v>
      </c>
      <c r="BY12">
        <f t="shared" si="0"/>
        <v>1</v>
      </c>
      <c r="BZ12" t="s">
        <v>120</v>
      </c>
      <c r="CA12" t="s">
        <v>96</v>
      </c>
    </row>
    <row r="13" spans="1:79" hidden="1">
      <c r="A13" t="s">
        <v>97</v>
      </c>
      <c r="C13" t="s">
        <v>99</v>
      </c>
      <c r="D13">
        <v>6</v>
      </c>
      <c r="E13">
        <v>8</v>
      </c>
      <c r="F13">
        <v>1</v>
      </c>
      <c r="G13" t="s">
        <v>77</v>
      </c>
      <c r="H13" t="s">
        <v>78</v>
      </c>
      <c r="I13" s="1">
        <v>45725</v>
      </c>
      <c r="J13" s="1">
        <v>45725</v>
      </c>
      <c r="K13">
        <v>1</v>
      </c>
      <c r="L13" t="s">
        <v>77</v>
      </c>
      <c r="M13" t="s">
        <v>101</v>
      </c>
      <c r="N13" t="s">
        <v>77</v>
      </c>
      <c r="O13" t="s">
        <v>77</v>
      </c>
      <c r="P13" t="s">
        <v>102</v>
      </c>
      <c r="Q13" t="s">
        <v>81</v>
      </c>
      <c r="R13" t="s">
        <v>82</v>
      </c>
      <c r="S13">
        <v>2</v>
      </c>
      <c r="T13" t="s">
        <v>83</v>
      </c>
      <c r="U13" t="s">
        <v>84</v>
      </c>
      <c r="V13">
        <v>2025</v>
      </c>
      <c r="W13">
        <v>1</v>
      </c>
      <c r="X13">
        <v>3</v>
      </c>
      <c r="Y13">
        <v>9</v>
      </c>
      <c r="AA13" t="s">
        <v>85</v>
      </c>
      <c r="AB13" t="s">
        <v>86</v>
      </c>
      <c r="AC13">
        <v>44</v>
      </c>
      <c r="AD13" s="2">
        <v>0.41666666666666669</v>
      </c>
      <c r="AE13">
        <v>1440</v>
      </c>
      <c r="AF13" t="s">
        <v>104</v>
      </c>
      <c r="AG13" t="s">
        <v>88</v>
      </c>
      <c r="AH13" t="s">
        <v>89</v>
      </c>
      <c r="AJ13">
        <v>54</v>
      </c>
      <c r="AK13">
        <v>25</v>
      </c>
      <c r="AL13">
        <v>19</v>
      </c>
      <c r="AM13">
        <v>42</v>
      </c>
      <c r="AN13">
        <v>2</v>
      </c>
      <c r="AO13">
        <v>2</v>
      </c>
      <c r="AP13">
        <v>2</v>
      </c>
      <c r="AQ13">
        <v>1</v>
      </c>
      <c r="AR13" t="s">
        <v>91</v>
      </c>
      <c r="AS13" t="s">
        <v>92</v>
      </c>
      <c r="AT13" t="s">
        <v>117</v>
      </c>
      <c r="AU13">
        <v>1</v>
      </c>
      <c r="AV13">
        <v>20</v>
      </c>
      <c r="AX13" t="s">
        <v>81</v>
      </c>
      <c r="AY13" t="s">
        <v>94</v>
      </c>
      <c r="AZ13">
        <v>0</v>
      </c>
      <c r="BB13">
        <v>43</v>
      </c>
      <c r="BC13">
        <v>77</v>
      </c>
      <c r="BD13">
        <v>2</v>
      </c>
      <c r="BE13">
        <v>4</v>
      </c>
      <c r="BF13">
        <v>0</v>
      </c>
      <c r="BG13">
        <v>4</v>
      </c>
      <c r="BI13">
        <v>4</v>
      </c>
      <c r="BQ13">
        <v>0</v>
      </c>
      <c r="BR13">
        <v>0</v>
      </c>
      <c r="BS13">
        <v>0</v>
      </c>
      <c r="BT13">
        <v>0</v>
      </c>
      <c r="BU13">
        <v>0</v>
      </c>
      <c r="BY13">
        <f t="shared" si="0"/>
        <v>1</v>
      </c>
      <c r="BZ13" t="s">
        <v>121</v>
      </c>
      <c r="CA13" t="s">
        <v>96</v>
      </c>
    </row>
    <row r="14" spans="1:79" hidden="1">
      <c r="A14" t="s">
        <v>97</v>
      </c>
      <c r="C14" t="s">
        <v>99</v>
      </c>
      <c r="D14">
        <v>6</v>
      </c>
      <c r="E14">
        <v>8</v>
      </c>
      <c r="F14">
        <v>1</v>
      </c>
      <c r="G14" t="s">
        <v>77</v>
      </c>
      <c r="H14" t="s">
        <v>78</v>
      </c>
      <c r="I14" s="1">
        <v>45725</v>
      </c>
      <c r="J14" s="1">
        <v>45725</v>
      </c>
      <c r="K14">
        <v>1</v>
      </c>
      <c r="L14" t="s">
        <v>77</v>
      </c>
      <c r="M14" t="s">
        <v>101</v>
      </c>
      <c r="N14" t="s">
        <v>77</v>
      </c>
      <c r="O14" t="s">
        <v>77</v>
      </c>
      <c r="P14" t="s">
        <v>102</v>
      </c>
      <c r="Q14" t="s">
        <v>81</v>
      </c>
      <c r="R14" t="s">
        <v>82</v>
      </c>
      <c r="S14">
        <v>2</v>
      </c>
      <c r="T14" t="s">
        <v>83</v>
      </c>
      <c r="U14" t="s">
        <v>84</v>
      </c>
      <c r="V14">
        <v>2025</v>
      </c>
      <c r="W14">
        <v>1</v>
      </c>
      <c r="X14">
        <v>3</v>
      </c>
      <c r="Y14">
        <v>9</v>
      </c>
      <c r="AA14" t="s">
        <v>85</v>
      </c>
      <c r="AB14" t="s">
        <v>86</v>
      </c>
      <c r="AC14">
        <v>44</v>
      </c>
      <c r="AD14" s="2">
        <v>0.41666666666666669</v>
      </c>
      <c r="AE14">
        <v>1440</v>
      </c>
      <c r="AF14" t="s">
        <v>104</v>
      </c>
      <c r="AG14" t="s">
        <v>88</v>
      </c>
      <c r="AH14" t="s">
        <v>89</v>
      </c>
      <c r="AJ14">
        <v>54</v>
      </c>
      <c r="AK14">
        <v>25</v>
      </c>
      <c r="AL14">
        <v>19</v>
      </c>
      <c r="AM14">
        <v>42</v>
      </c>
      <c r="AN14">
        <v>2</v>
      </c>
      <c r="AO14">
        <v>2</v>
      </c>
      <c r="AP14">
        <v>2</v>
      </c>
      <c r="AQ14">
        <v>1</v>
      </c>
      <c r="AR14" t="s">
        <v>91</v>
      </c>
      <c r="AS14" t="s">
        <v>92</v>
      </c>
      <c r="AT14" t="s">
        <v>117</v>
      </c>
      <c r="AU14">
        <v>1</v>
      </c>
      <c r="AV14">
        <v>20</v>
      </c>
      <c r="AX14" t="s">
        <v>81</v>
      </c>
      <c r="AY14" t="s">
        <v>94</v>
      </c>
      <c r="AZ14">
        <v>0</v>
      </c>
      <c r="BB14">
        <v>43</v>
      </c>
      <c r="BC14">
        <v>72</v>
      </c>
      <c r="BD14">
        <v>2</v>
      </c>
      <c r="BE14">
        <v>6</v>
      </c>
      <c r="BF14">
        <v>0</v>
      </c>
      <c r="BG14">
        <v>3</v>
      </c>
      <c r="BI14">
        <v>3</v>
      </c>
      <c r="BQ14">
        <v>0</v>
      </c>
      <c r="BR14">
        <v>0</v>
      </c>
      <c r="BS14">
        <v>0</v>
      </c>
      <c r="BT14">
        <v>0</v>
      </c>
      <c r="BU14">
        <v>0</v>
      </c>
      <c r="BY14">
        <f t="shared" si="0"/>
        <v>1</v>
      </c>
      <c r="BZ14" t="s">
        <v>122</v>
      </c>
      <c r="CA14" t="s">
        <v>96</v>
      </c>
    </row>
    <row r="15" spans="1:79" hidden="1">
      <c r="A15" t="s">
        <v>97</v>
      </c>
      <c r="C15" t="s">
        <v>99</v>
      </c>
      <c r="D15">
        <v>6</v>
      </c>
      <c r="E15">
        <v>8</v>
      </c>
      <c r="F15">
        <v>1</v>
      </c>
      <c r="G15" t="s">
        <v>77</v>
      </c>
      <c r="H15" t="s">
        <v>78</v>
      </c>
      <c r="I15" s="1">
        <v>45725</v>
      </c>
      <c r="J15" s="1">
        <v>45725</v>
      </c>
      <c r="K15">
        <v>1</v>
      </c>
      <c r="L15" t="s">
        <v>77</v>
      </c>
      <c r="M15" t="s">
        <v>101</v>
      </c>
      <c r="N15" t="s">
        <v>77</v>
      </c>
      <c r="O15" t="s">
        <v>77</v>
      </c>
      <c r="P15" t="s">
        <v>102</v>
      </c>
      <c r="Q15" t="s">
        <v>81</v>
      </c>
      <c r="R15" t="s">
        <v>82</v>
      </c>
      <c r="S15">
        <v>2</v>
      </c>
      <c r="T15" t="s">
        <v>83</v>
      </c>
      <c r="U15" t="s">
        <v>84</v>
      </c>
      <c r="V15">
        <v>2025</v>
      </c>
      <c r="W15">
        <v>1</v>
      </c>
      <c r="X15">
        <v>3</v>
      </c>
      <c r="Y15">
        <v>9</v>
      </c>
      <c r="AA15" t="s">
        <v>85</v>
      </c>
      <c r="AB15" t="s">
        <v>86</v>
      </c>
      <c r="AC15">
        <v>44</v>
      </c>
      <c r="AD15" s="2">
        <v>0.41666666666666669</v>
      </c>
      <c r="AE15">
        <v>1440</v>
      </c>
      <c r="AF15" t="s">
        <v>104</v>
      </c>
      <c r="AG15" t="s">
        <v>88</v>
      </c>
      <c r="AH15" t="s">
        <v>89</v>
      </c>
      <c r="AJ15">
        <v>54</v>
      </c>
      <c r="AK15">
        <v>25</v>
      </c>
      <c r="AL15">
        <v>19</v>
      </c>
      <c r="AM15">
        <v>42</v>
      </c>
      <c r="AN15">
        <v>2</v>
      </c>
      <c r="AO15">
        <v>2</v>
      </c>
      <c r="AP15">
        <v>2</v>
      </c>
      <c r="AQ15">
        <v>1</v>
      </c>
      <c r="AR15" t="s">
        <v>91</v>
      </c>
      <c r="AS15" t="s">
        <v>92</v>
      </c>
      <c r="AT15" t="s">
        <v>117</v>
      </c>
      <c r="AU15">
        <v>1</v>
      </c>
      <c r="AV15">
        <v>20</v>
      </c>
      <c r="AX15" t="s">
        <v>81</v>
      </c>
      <c r="AY15" t="s">
        <v>94</v>
      </c>
      <c r="AZ15">
        <v>0</v>
      </c>
      <c r="BB15">
        <v>40</v>
      </c>
      <c r="BC15">
        <v>73</v>
      </c>
      <c r="BD15">
        <v>2</v>
      </c>
      <c r="BE15">
        <v>6</v>
      </c>
      <c r="BF15">
        <v>0</v>
      </c>
      <c r="BG15">
        <v>3</v>
      </c>
      <c r="BI15">
        <v>3</v>
      </c>
      <c r="BQ15">
        <v>0</v>
      </c>
      <c r="BR15">
        <v>0</v>
      </c>
      <c r="BS15">
        <v>0</v>
      </c>
      <c r="BT15">
        <v>0</v>
      </c>
      <c r="BU15">
        <v>0</v>
      </c>
      <c r="BY15">
        <f t="shared" si="0"/>
        <v>1</v>
      </c>
      <c r="BZ15" t="s">
        <v>118</v>
      </c>
      <c r="CA15" t="s">
        <v>96</v>
      </c>
    </row>
    <row r="16" spans="1:79" hidden="1">
      <c r="A16" t="s">
        <v>97</v>
      </c>
      <c r="C16" t="s">
        <v>99</v>
      </c>
      <c r="D16">
        <v>6</v>
      </c>
      <c r="E16">
        <v>8</v>
      </c>
      <c r="F16">
        <v>1</v>
      </c>
      <c r="G16" t="s">
        <v>77</v>
      </c>
      <c r="H16" t="s">
        <v>78</v>
      </c>
      <c r="I16" s="1">
        <v>45725</v>
      </c>
      <c r="J16" s="1">
        <v>45725</v>
      </c>
      <c r="K16">
        <v>1</v>
      </c>
      <c r="L16" t="s">
        <v>77</v>
      </c>
      <c r="M16" t="s">
        <v>101</v>
      </c>
      <c r="N16" t="s">
        <v>77</v>
      </c>
      <c r="O16" t="s">
        <v>77</v>
      </c>
      <c r="P16" t="s">
        <v>102</v>
      </c>
      <c r="Q16" t="s">
        <v>81</v>
      </c>
      <c r="R16" t="s">
        <v>82</v>
      </c>
      <c r="S16">
        <v>2</v>
      </c>
      <c r="T16" t="s">
        <v>83</v>
      </c>
      <c r="U16" t="s">
        <v>84</v>
      </c>
      <c r="V16">
        <v>2025</v>
      </c>
      <c r="W16">
        <v>1</v>
      </c>
      <c r="X16">
        <v>3</v>
      </c>
      <c r="Y16">
        <v>9</v>
      </c>
      <c r="AA16" t="s">
        <v>85</v>
      </c>
      <c r="AB16" t="s">
        <v>86</v>
      </c>
      <c r="AC16">
        <v>44</v>
      </c>
      <c r="AD16" s="2">
        <v>0.41666666666666669</v>
      </c>
      <c r="AE16">
        <v>1440</v>
      </c>
      <c r="AF16" t="s">
        <v>104</v>
      </c>
      <c r="AG16" t="s">
        <v>88</v>
      </c>
      <c r="AH16" t="s">
        <v>89</v>
      </c>
      <c r="AJ16">
        <v>54</v>
      </c>
      <c r="AK16">
        <v>25</v>
      </c>
      <c r="AL16">
        <v>19</v>
      </c>
      <c r="AM16">
        <v>42</v>
      </c>
      <c r="AN16">
        <v>2</v>
      </c>
      <c r="AO16">
        <v>2</v>
      </c>
      <c r="AP16">
        <v>2</v>
      </c>
      <c r="AQ16">
        <v>1</v>
      </c>
      <c r="AR16" t="s">
        <v>91</v>
      </c>
      <c r="AS16" t="s">
        <v>92</v>
      </c>
      <c r="AT16" t="s">
        <v>117</v>
      </c>
      <c r="AU16">
        <v>1</v>
      </c>
      <c r="AV16">
        <v>20</v>
      </c>
      <c r="AX16" t="s">
        <v>81</v>
      </c>
      <c r="AY16" t="s">
        <v>94</v>
      </c>
      <c r="AZ16">
        <v>0</v>
      </c>
      <c r="BB16">
        <v>43</v>
      </c>
      <c r="BC16">
        <v>71</v>
      </c>
      <c r="BD16">
        <v>2</v>
      </c>
      <c r="BE16">
        <v>6</v>
      </c>
      <c r="BF16">
        <v>0</v>
      </c>
      <c r="BG16">
        <v>4</v>
      </c>
      <c r="BI16">
        <v>4</v>
      </c>
      <c r="BQ16">
        <v>0</v>
      </c>
      <c r="BR16">
        <v>0</v>
      </c>
      <c r="BS16">
        <v>0</v>
      </c>
      <c r="BT16">
        <v>0</v>
      </c>
      <c r="BU16">
        <v>0</v>
      </c>
      <c r="BY16">
        <f t="shared" si="0"/>
        <v>1</v>
      </c>
      <c r="BZ16" t="s">
        <v>123</v>
      </c>
      <c r="CA16" t="s">
        <v>96</v>
      </c>
    </row>
    <row r="17" spans="1:80" hidden="1">
      <c r="A17" t="s">
        <v>97</v>
      </c>
      <c r="C17" t="s">
        <v>99</v>
      </c>
      <c r="D17">
        <v>6</v>
      </c>
      <c r="E17">
        <v>8</v>
      </c>
      <c r="F17">
        <v>1</v>
      </c>
      <c r="G17" t="s">
        <v>77</v>
      </c>
      <c r="H17" t="s">
        <v>78</v>
      </c>
      <c r="I17" s="1">
        <v>45725</v>
      </c>
      <c r="J17" s="1">
        <v>45725</v>
      </c>
      <c r="K17">
        <v>1</v>
      </c>
      <c r="L17" t="s">
        <v>77</v>
      </c>
      <c r="M17" t="s">
        <v>101</v>
      </c>
      <c r="N17" t="s">
        <v>77</v>
      </c>
      <c r="O17" t="s">
        <v>77</v>
      </c>
      <c r="P17" t="s">
        <v>102</v>
      </c>
      <c r="Q17" t="s">
        <v>81</v>
      </c>
      <c r="R17" t="s">
        <v>82</v>
      </c>
      <c r="S17">
        <v>2</v>
      </c>
      <c r="T17" t="s">
        <v>83</v>
      </c>
      <c r="U17" t="s">
        <v>84</v>
      </c>
      <c r="V17">
        <v>2025</v>
      </c>
      <c r="W17">
        <v>1</v>
      </c>
      <c r="X17">
        <v>3</v>
      </c>
      <c r="Y17">
        <v>9</v>
      </c>
      <c r="AA17" t="s">
        <v>85</v>
      </c>
      <c r="AB17" t="s">
        <v>86</v>
      </c>
      <c r="AC17">
        <v>44</v>
      </c>
      <c r="AD17" s="2">
        <v>0.41666666666666669</v>
      </c>
      <c r="AE17">
        <v>1440</v>
      </c>
      <c r="AF17" t="s">
        <v>104</v>
      </c>
      <c r="AG17" t="s">
        <v>88</v>
      </c>
      <c r="AH17" t="s">
        <v>89</v>
      </c>
      <c r="AJ17">
        <v>54</v>
      </c>
      <c r="AK17">
        <v>25</v>
      </c>
      <c r="AL17">
        <v>19</v>
      </c>
      <c r="AM17">
        <v>42</v>
      </c>
      <c r="AN17">
        <v>2</v>
      </c>
      <c r="AO17">
        <v>2</v>
      </c>
      <c r="AP17">
        <v>2</v>
      </c>
      <c r="AQ17">
        <v>1</v>
      </c>
      <c r="AR17" t="s">
        <v>91</v>
      </c>
      <c r="AS17" t="s">
        <v>92</v>
      </c>
      <c r="AT17" t="s">
        <v>117</v>
      </c>
      <c r="AU17">
        <v>1</v>
      </c>
      <c r="AV17">
        <v>20</v>
      </c>
      <c r="AX17" t="s">
        <v>81</v>
      </c>
      <c r="AY17" t="s">
        <v>94</v>
      </c>
      <c r="AZ17">
        <v>0</v>
      </c>
      <c r="BB17">
        <v>44</v>
      </c>
      <c r="BC17">
        <v>78</v>
      </c>
      <c r="BD17">
        <v>1</v>
      </c>
      <c r="BE17">
        <v>6</v>
      </c>
      <c r="BF17">
        <v>0</v>
      </c>
      <c r="BG17">
        <v>6</v>
      </c>
      <c r="BI17">
        <v>6</v>
      </c>
      <c r="BQ17">
        <v>0</v>
      </c>
      <c r="BR17">
        <v>0</v>
      </c>
      <c r="BS17">
        <v>0</v>
      </c>
      <c r="BT17">
        <v>0</v>
      </c>
      <c r="BU17">
        <v>0</v>
      </c>
      <c r="BY17">
        <f t="shared" si="0"/>
        <v>1</v>
      </c>
      <c r="BZ17" t="s">
        <v>124</v>
      </c>
      <c r="CA17" t="s">
        <v>96</v>
      </c>
    </row>
    <row r="18" spans="1:80" hidden="1">
      <c r="A18" t="s">
        <v>97</v>
      </c>
      <c r="C18" t="s">
        <v>99</v>
      </c>
      <c r="D18">
        <v>6</v>
      </c>
      <c r="E18">
        <v>8</v>
      </c>
      <c r="F18">
        <v>1</v>
      </c>
      <c r="G18" t="s">
        <v>77</v>
      </c>
      <c r="H18" t="s">
        <v>78</v>
      </c>
      <c r="I18" s="1">
        <v>45725</v>
      </c>
      <c r="J18" s="1">
        <v>45725</v>
      </c>
      <c r="K18">
        <v>1</v>
      </c>
      <c r="L18" t="s">
        <v>77</v>
      </c>
      <c r="M18" t="s">
        <v>101</v>
      </c>
      <c r="N18" t="s">
        <v>77</v>
      </c>
      <c r="O18" t="s">
        <v>77</v>
      </c>
      <c r="P18" t="s">
        <v>102</v>
      </c>
      <c r="Q18" t="s">
        <v>81</v>
      </c>
      <c r="R18" t="s">
        <v>82</v>
      </c>
      <c r="S18">
        <v>2</v>
      </c>
      <c r="T18" t="s">
        <v>83</v>
      </c>
      <c r="U18" t="s">
        <v>84</v>
      </c>
      <c r="V18">
        <v>2025</v>
      </c>
      <c r="W18">
        <v>1</v>
      </c>
      <c r="X18">
        <v>3</v>
      </c>
      <c r="Y18">
        <v>9</v>
      </c>
      <c r="AA18" t="s">
        <v>85</v>
      </c>
      <c r="AB18" t="s">
        <v>86</v>
      </c>
      <c r="AC18">
        <v>44</v>
      </c>
      <c r="AD18" s="2">
        <v>0.41666666666666669</v>
      </c>
      <c r="AE18">
        <v>1440</v>
      </c>
      <c r="AF18" t="s">
        <v>104</v>
      </c>
      <c r="AG18" t="s">
        <v>88</v>
      </c>
      <c r="AH18" t="s">
        <v>89</v>
      </c>
      <c r="AJ18">
        <v>54</v>
      </c>
      <c r="AK18">
        <v>25</v>
      </c>
      <c r="AL18">
        <v>19</v>
      </c>
      <c r="AM18">
        <v>42</v>
      </c>
      <c r="AN18">
        <v>2</v>
      </c>
      <c r="AO18">
        <v>2</v>
      </c>
      <c r="AP18">
        <v>2</v>
      </c>
      <c r="AQ18">
        <v>1</v>
      </c>
      <c r="AR18" t="s">
        <v>91</v>
      </c>
      <c r="AS18" t="s">
        <v>92</v>
      </c>
      <c r="AT18" t="s">
        <v>117</v>
      </c>
      <c r="AU18">
        <v>1</v>
      </c>
      <c r="AV18">
        <v>20</v>
      </c>
      <c r="AX18" t="s">
        <v>81</v>
      </c>
      <c r="AY18" t="s">
        <v>94</v>
      </c>
      <c r="AZ18">
        <v>0</v>
      </c>
      <c r="BB18">
        <v>44</v>
      </c>
      <c r="BC18">
        <v>80</v>
      </c>
      <c r="BD18">
        <v>2</v>
      </c>
      <c r="BE18">
        <v>6</v>
      </c>
      <c r="BF18">
        <v>0</v>
      </c>
      <c r="BG18">
        <v>5</v>
      </c>
      <c r="BI18">
        <v>5</v>
      </c>
      <c r="BQ18">
        <v>0</v>
      </c>
      <c r="BR18">
        <v>0</v>
      </c>
      <c r="BS18">
        <v>0</v>
      </c>
      <c r="BT18">
        <v>0</v>
      </c>
      <c r="BU18">
        <v>0</v>
      </c>
      <c r="BY18">
        <f t="shared" si="0"/>
        <v>1</v>
      </c>
      <c r="BZ18" t="s">
        <v>125</v>
      </c>
      <c r="CA18" t="s">
        <v>96</v>
      </c>
    </row>
    <row r="19" spans="1:80" hidden="1">
      <c r="A19" t="s">
        <v>97</v>
      </c>
      <c r="C19" t="s">
        <v>99</v>
      </c>
      <c r="D19">
        <v>6</v>
      </c>
      <c r="E19">
        <v>8</v>
      </c>
      <c r="F19">
        <v>1</v>
      </c>
      <c r="G19" t="s">
        <v>77</v>
      </c>
      <c r="H19" t="s">
        <v>78</v>
      </c>
      <c r="I19" s="1">
        <v>45725</v>
      </c>
      <c r="J19" s="1">
        <v>45725</v>
      </c>
      <c r="K19">
        <v>1</v>
      </c>
      <c r="L19" t="s">
        <v>77</v>
      </c>
      <c r="M19" t="s">
        <v>101</v>
      </c>
      <c r="N19" t="s">
        <v>77</v>
      </c>
      <c r="O19" t="s">
        <v>77</v>
      </c>
      <c r="P19" t="s">
        <v>102</v>
      </c>
      <c r="Q19" t="s">
        <v>81</v>
      </c>
      <c r="R19" t="s">
        <v>82</v>
      </c>
      <c r="S19">
        <v>2</v>
      </c>
      <c r="T19" t="s">
        <v>83</v>
      </c>
      <c r="U19" t="s">
        <v>84</v>
      </c>
      <c r="V19">
        <v>2025</v>
      </c>
      <c r="W19">
        <v>1</v>
      </c>
      <c r="X19">
        <v>3</v>
      </c>
      <c r="Y19">
        <v>9</v>
      </c>
      <c r="AA19" t="s">
        <v>85</v>
      </c>
      <c r="AB19" t="s">
        <v>86</v>
      </c>
      <c r="AC19">
        <v>44</v>
      </c>
      <c r="AD19" s="2">
        <v>0.41666666666666669</v>
      </c>
      <c r="AE19">
        <v>1440</v>
      </c>
      <c r="AF19" t="s">
        <v>104</v>
      </c>
      <c r="AG19" t="s">
        <v>88</v>
      </c>
      <c r="AH19" t="s">
        <v>89</v>
      </c>
      <c r="AJ19">
        <v>54</v>
      </c>
      <c r="AK19">
        <v>25</v>
      </c>
      <c r="AL19">
        <v>19</v>
      </c>
      <c r="AM19">
        <v>42</v>
      </c>
      <c r="AN19">
        <v>2</v>
      </c>
      <c r="AO19">
        <v>2</v>
      </c>
      <c r="AP19">
        <v>2</v>
      </c>
      <c r="AQ19">
        <v>1</v>
      </c>
      <c r="AR19" t="s">
        <v>91</v>
      </c>
      <c r="AS19" t="s">
        <v>92</v>
      </c>
      <c r="AT19" t="s">
        <v>117</v>
      </c>
      <c r="AU19">
        <v>1</v>
      </c>
      <c r="AV19">
        <v>20</v>
      </c>
      <c r="AX19" t="s">
        <v>81</v>
      </c>
      <c r="AY19" t="s">
        <v>94</v>
      </c>
      <c r="AZ19">
        <v>0</v>
      </c>
      <c r="BB19">
        <v>44</v>
      </c>
      <c r="BC19">
        <v>76</v>
      </c>
      <c r="BD19">
        <v>1</v>
      </c>
      <c r="BE19">
        <v>6</v>
      </c>
      <c r="BF19">
        <v>0</v>
      </c>
      <c r="BG19">
        <v>4</v>
      </c>
      <c r="BI19">
        <v>4</v>
      </c>
      <c r="BQ19">
        <v>0</v>
      </c>
      <c r="BR19">
        <v>0</v>
      </c>
      <c r="BS19">
        <v>0</v>
      </c>
      <c r="BT19">
        <v>0</v>
      </c>
      <c r="BU19">
        <v>0</v>
      </c>
      <c r="BY19">
        <f t="shared" si="0"/>
        <v>1</v>
      </c>
      <c r="BZ19" t="s">
        <v>126</v>
      </c>
      <c r="CA19" t="s">
        <v>96</v>
      </c>
    </row>
    <row r="20" spans="1:80" hidden="1">
      <c r="A20" t="s">
        <v>97</v>
      </c>
      <c r="C20" t="s">
        <v>99</v>
      </c>
      <c r="D20">
        <v>6</v>
      </c>
      <c r="E20">
        <v>8</v>
      </c>
      <c r="F20">
        <v>1</v>
      </c>
      <c r="G20" t="s">
        <v>77</v>
      </c>
      <c r="H20" t="s">
        <v>78</v>
      </c>
      <c r="I20" s="1">
        <v>45725</v>
      </c>
      <c r="J20" s="1">
        <v>45725</v>
      </c>
      <c r="K20">
        <v>1</v>
      </c>
      <c r="L20" t="s">
        <v>77</v>
      </c>
      <c r="M20" t="s">
        <v>101</v>
      </c>
      <c r="N20" t="s">
        <v>77</v>
      </c>
      <c r="O20" t="s">
        <v>77</v>
      </c>
      <c r="P20" t="s">
        <v>102</v>
      </c>
      <c r="Q20" t="s">
        <v>81</v>
      </c>
      <c r="R20" t="s">
        <v>82</v>
      </c>
      <c r="S20">
        <v>2</v>
      </c>
      <c r="T20" t="s">
        <v>83</v>
      </c>
      <c r="U20" t="s">
        <v>84</v>
      </c>
      <c r="V20">
        <v>2025</v>
      </c>
      <c r="W20">
        <v>1</v>
      </c>
      <c r="X20">
        <v>3</v>
      </c>
      <c r="Y20">
        <v>9</v>
      </c>
      <c r="AA20" t="s">
        <v>85</v>
      </c>
      <c r="AB20" t="s">
        <v>86</v>
      </c>
      <c r="AC20">
        <v>44</v>
      </c>
      <c r="AD20" s="2">
        <v>0.41666666666666669</v>
      </c>
      <c r="AE20">
        <v>1440</v>
      </c>
      <c r="AF20" t="s">
        <v>104</v>
      </c>
      <c r="AG20" t="s">
        <v>88</v>
      </c>
      <c r="AH20" t="s">
        <v>89</v>
      </c>
      <c r="AJ20">
        <v>54</v>
      </c>
      <c r="AK20">
        <v>25</v>
      </c>
      <c r="AL20">
        <v>19</v>
      </c>
      <c r="AM20">
        <v>42</v>
      </c>
      <c r="AN20">
        <v>2</v>
      </c>
      <c r="AO20">
        <v>2</v>
      </c>
      <c r="AP20">
        <v>2</v>
      </c>
      <c r="AQ20">
        <v>1</v>
      </c>
      <c r="AR20" t="s">
        <v>91</v>
      </c>
      <c r="AS20" t="s">
        <v>92</v>
      </c>
      <c r="AT20" t="s">
        <v>117</v>
      </c>
      <c r="AU20">
        <v>1</v>
      </c>
      <c r="AV20">
        <v>20</v>
      </c>
      <c r="AX20" t="s">
        <v>81</v>
      </c>
      <c r="AY20" t="s">
        <v>94</v>
      </c>
      <c r="AZ20">
        <v>0</v>
      </c>
      <c r="BB20">
        <v>45</v>
      </c>
      <c r="BC20">
        <v>96</v>
      </c>
      <c r="BD20">
        <v>2</v>
      </c>
      <c r="BE20">
        <v>6</v>
      </c>
      <c r="BF20">
        <v>0</v>
      </c>
      <c r="BG20">
        <v>6</v>
      </c>
      <c r="BI20">
        <v>6</v>
      </c>
      <c r="BQ20">
        <v>0</v>
      </c>
      <c r="BR20">
        <v>0</v>
      </c>
      <c r="BS20">
        <v>0</v>
      </c>
      <c r="BT20">
        <v>0</v>
      </c>
      <c r="BU20">
        <v>0</v>
      </c>
      <c r="BY20">
        <f t="shared" si="0"/>
        <v>1</v>
      </c>
      <c r="BZ20" t="s">
        <v>127</v>
      </c>
      <c r="CA20" t="s">
        <v>96</v>
      </c>
    </row>
    <row r="21" spans="1:80" hidden="1">
      <c r="A21" t="s">
        <v>97</v>
      </c>
      <c r="C21" t="s">
        <v>99</v>
      </c>
      <c r="D21">
        <v>6</v>
      </c>
      <c r="E21">
        <v>8</v>
      </c>
      <c r="F21">
        <v>1</v>
      </c>
      <c r="G21" t="s">
        <v>77</v>
      </c>
      <c r="H21" t="s">
        <v>78</v>
      </c>
      <c r="I21" s="1">
        <v>45725</v>
      </c>
      <c r="J21" s="1">
        <v>45725</v>
      </c>
      <c r="K21">
        <v>1</v>
      </c>
      <c r="L21" t="s">
        <v>77</v>
      </c>
      <c r="M21" t="s">
        <v>101</v>
      </c>
      <c r="N21" t="s">
        <v>77</v>
      </c>
      <c r="O21" t="s">
        <v>77</v>
      </c>
      <c r="P21" t="s">
        <v>102</v>
      </c>
      <c r="Q21" t="s">
        <v>81</v>
      </c>
      <c r="R21" t="s">
        <v>82</v>
      </c>
      <c r="S21">
        <v>2</v>
      </c>
      <c r="T21" t="s">
        <v>83</v>
      </c>
      <c r="U21" t="s">
        <v>84</v>
      </c>
      <c r="V21">
        <v>2025</v>
      </c>
      <c r="W21">
        <v>1</v>
      </c>
      <c r="X21">
        <v>3</v>
      </c>
      <c r="Y21">
        <v>9</v>
      </c>
      <c r="AA21" t="s">
        <v>85</v>
      </c>
      <c r="AB21" t="s">
        <v>86</v>
      </c>
      <c r="AC21">
        <v>44</v>
      </c>
      <c r="AD21" s="2">
        <v>0.41666666666666669</v>
      </c>
      <c r="AE21">
        <v>1440</v>
      </c>
      <c r="AF21" t="s">
        <v>104</v>
      </c>
      <c r="AG21" t="s">
        <v>88</v>
      </c>
      <c r="AH21" t="s">
        <v>89</v>
      </c>
      <c r="AJ21">
        <v>54</v>
      </c>
      <c r="AK21">
        <v>25</v>
      </c>
      <c r="AL21">
        <v>19</v>
      </c>
      <c r="AM21">
        <v>42</v>
      </c>
      <c r="AN21">
        <v>2</v>
      </c>
      <c r="AO21">
        <v>2</v>
      </c>
      <c r="AP21">
        <v>2</v>
      </c>
      <c r="AQ21">
        <v>1</v>
      </c>
      <c r="AR21" t="s">
        <v>91</v>
      </c>
      <c r="AS21" t="s">
        <v>92</v>
      </c>
      <c r="AT21" t="s">
        <v>117</v>
      </c>
      <c r="AU21">
        <v>1</v>
      </c>
      <c r="AV21">
        <v>20</v>
      </c>
      <c r="AX21" t="s">
        <v>81</v>
      </c>
      <c r="AY21" t="s">
        <v>94</v>
      </c>
      <c r="AZ21">
        <v>0</v>
      </c>
      <c r="BB21">
        <v>46</v>
      </c>
      <c r="BC21">
        <v>96</v>
      </c>
      <c r="BD21">
        <v>2</v>
      </c>
      <c r="BE21">
        <v>6</v>
      </c>
      <c r="BF21">
        <v>0</v>
      </c>
      <c r="BG21">
        <v>5</v>
      </c>
      <c r="BI21">
        <v>5</v>
      </c>
      <c r="BQ21">
        <v>0</v>
      </c>
      <c r="BR21">
        <v>0</v>
      </c>
      <c r="BS21">
        <v>0</v>
      </c>
      <c r="BT21">
        <v>0</v>
      </c>
      <c r="BU21">
        <v>0</v>
      </c>
      <c r="BY21">
        <f t="shared" si="0"/>
        <v>1</v>
      </c>
      <c r="BZ21" t="s">
        <v>128</v>
      </c>
      <c r="CA21" t="s">
        <v>96</v>
      </c>
    </row>
    <row r="22" spans="1:80" hidden="1">
      <c r="A22" t="s">
        <v>97</v>
      </c>
      <c r="C22" t="s">
        <v>99</v>
      </c>
      <c r="D22">
        <v>6</v>
      </c>
      <c r="E22">
        <v>8</v>
      </c>
      <c r="F22">
        <v>1</v>
      </c>
      <c r="G22" t="s">
        <v>77</v>
      </c>
      <c r="H22" t="s">
        <v>78</v>
      </c>
      <c r="I22" s="1">
        <v>45725</v>
      </c>
      <c r="J22" s="1">
        <v>45725</v>
      </c>
      <c r="K22">
        <v>1</v>
      </c>
      <c r="L22" t="s">
        <v>77</v>
      </c>
      <c r="M22" t="s">
        <v>101</v>
      </c>
      <c r="N22" t="s">
        <v>77</v>
      </c>
      <c r="O22" t="s">
        <v>77</v>
      </c>
      <c r="P22" t="s">
        <v>102</v>
      </c>
      <c r="Q22" t="s">
        <v>81</v>
      </c>
      <c r="R22" t="s">
        <v>82</v>
      </c>
      <c r="S22">
        <v>2</v>
      </c>
      <c r="T22" t="s">
        <v>83</v>
      </c>
      <c r="U22" t="s">
        <v>84</v>
      </c>
      <c r="V22">
        <v>2025</v>
      </c>
      <c r="W22">
        <v>1</v>
      </c>
      <c r="X22">
        <v>3</v>
      </c>
      <c r="Y22">
        <v>9</v>
      </c>
      <c r="AA22" t="s">
        <v>85</v>
      </c>
      <c r="AB22" t="s">
        <v>86</v>
      </c>
      <c r="AC22">
        <v>44</v>
      </c>
      <c r="AD22" s="2">
        <v>0.41666666666666669</v>
      </c>
      <c r="AE22">
        <v>1440</v>
      </c>
      <c r="AF22" t="s">
        <v>104</v>
      </c>
      <c r="AG22" t="s">
        <v>88</v>
      </c>
      <c r="AH22" t="s">
        <v>89</v>
      </c>
      <c r="AJ22">
        <v>54</v>
      </c>
      <c r="AK22">
        <v>25</v>
      </c>
      <c r="AL22">
        <v>19</v>
      </c>
      <c r="AM22">
        <v>42</v>
      </c>
      <c r="AN22">
        <v>2</v>
      </c>
      <c r="AO22">
        <v>2</v>
      </c>
      <c r="AP22">
        <v>2</v>
      </c>
      <c r="AQ22">
        <v>1</v>
      </c>
      <c r="AR22" t="s">
        <v>91</v>
      </c>
      <c r="AS22" t="s">
        <v>92</v>
      </c>
      <c r="AT22" t="s">
        <v>117</v>
      </c>
      <c r="AU22">
        <v>1</v>
      </c>
      <c r="AV22">
        <v>20</v>
      </c>
      <c r="AX22" t="s">
        <v>81</v>
      </c>
      <c r="AY22" t="s">
        <v>94</v>
      </c>
      <c r="AZ22">
        <v>0</v>
      </c>
      <c r="BB22">
        <v>46</v>
      </c>
      <c r="BC22">
        <v>96</v>
      </c>
      <c r="BD22">
        <v>2</v>
      </c>
      <c r="BE22">
        <v>4</v>
      </c>
      <c r="BF22">
        <v>0</v>
      </c>
      <c r="BG22">
        <v>6</v>
      </c>
      <c r="BI22">
        <v>6</v>
      </c>
      <c r="BQ22">
        <v>0</v>
      </c>
      <c r="BR22">
        <v>0</v>
      </c>
      <c r="BS22">
        <v>0</v>
      </c>
      <c r="BT22">
        <v>0</v>
      </c>
      <c r="BU22">
        <v>0</v>
      </c>
      <c r="BY22">
        <f t="shared" si="0"/>
        <v>1</v>
      </c>
      <c r="BZ22" t="s">
        <v>129</v>
      </c>
      <c r="CA22" t="s">
        <v>96</v>
      </c>
    </row>
    <row r="23" spans="1:80" hidden="1">
      <c r="A23" t="s">
        <v>97</v>
      </c>
      <c r="C23" t="s">
        <v>99</v>
      </c>
      <c r="D23">
        <v>6</v>
      </c>
      <c r="E23">
        <v>8</v>
      </c>
      <c r="F23">
        <v>1</v>
      </c>
      <c r="G23" t="s">
        <v>77</v>
      </c>
      <c r="H23" t="s">
        <v>78</v>
      </c>
      <c r="I23" s="1">
        <v>45725</v>
      </c>
      <c r="J23" s="1">
        <v>45725</v>
      </c>
      <c r="K23">
        <v>1</v>
      </c>
      <c r="L23" t="s">
        <v>77</v>
      </c>
      <c r="M23" t="s">
        <v>101</v>
      </c>
      <c r="N23" t="s">
        <v>77</v>
      </c>
      <c r="O23" t="s">
        <v>77</v>
      </c>
      <c r="P23" t="s">
        <v>102</v>
      </c>
      <c r="Q23" t="s">
        <v>81</v>
      </c>
      <c r="R23" t="s">
        <v>82</v>
      </c>
      <c r="S23">
        <v>2</v>
      </c>
      <c r="T23" t="s">
        <v>83</v>
      </c>
      <c r="U23" t="s">
        <v>84</v>
      </c>
      <c r="V23">
        <v>2025</v>
      </c>
      <c r="W23">
        <v>1</v>
      </c>
      <c r="X23">
        <v>3</v>
      </c>
      <c r="Y23">
        <v>9</v>
      </c>
      <c r="AA23" t="s">
        <v>85</v>
      </c>
      <c r="AB23" t="s">
        <v>86</v>
      </c>
      <c r="AC23">
        <v>44</v>
      </c>
      <c r="AD23" s="2">
        <v>0.41666666666666669</v>
      </c>
      <c r="AE23">
        <v>1440</v>
      </c>
      <c r="AF23" t="s">
        <v>104</v>
      </c>
      <c r="AG23" t="s">
        <v>88</v>
      </c>
      <c r="AH23" t="s">
        <v>89</v>
      </c>
      <c r="AJ23">
        <v>54</v>
      </c>
      <c r="AK23">
        <v>25</v>
      </c>
      <c r="AL23">
        <v>19</v>
      </c>
      <c r="AM23">
        <v>42</v>
      </c>
      <c r="AN23">
        <v>2</v>
      </c>
      <c r="AO23">
        <v>2</v>
      </c>
      <c r="AP23">
        <v>2</v>
      </c>
      <c r="AQ23">
        <v>1</v>
      </c>
      <c r="AR23" t="s">
        <v>91</v>
      </c>
      <c r="AS23" t="s">
        <v>92</v>
      </c>
      <c r="AT23" t="s">
        <v>117</v>
      </c>
      <c r="AU23">
        <v>1</v>
      </c>
      <c r="AV23">
        <v>20</v>
      </c>
      <c r="AX23" t="s">
        <v>81</v>
      </c>
      <c r="AY23" t="s">
        <v>94</v>
      </c>
      <c r="AZ23">
        <v>0</v>
      </c>
      <c r="BB23">
        <v>47</v>
      </c>
      <c r="BC23">
        <v>98</v>
      </c>
      <c r="BD23">
        <v>2</v>
      </c>
      <c r="BE23">
        <v>6</v>
      </c>
      <c r="BF23">
        <v>0</v>
      </c>
      <c r="BG23">
        <v>6</v>
      </c>
      <c r="BI23">
        <v>6</v>
      </c>
      <c r="BQ23">
        <v>0</v>
      </c>
      <c r="BR23">
        <v>0</v>
      </c>
      <c r="BS23">
        <v>0</v>
      </c>
      <c r="BT23">
        <v>0</v>
      </c>
      <c r="BU23">
        <v>0</v>
      </c>
      <c r="BY23">
        <f t="shared" si="0"/>
        <v>1</v>
      </c>
      <c r="BZ23" t="s">
        <v>130</v>
      </c>
      <c r="CA23" t="s">
        <v>96</v>
      </c>
    </row>
    <row r="24" spans="1:80" hidden="1">
      <c r="A24" t="s">
        <v>97</v>
      </c>
      <c r="C24" t="s">
        <v>99</v>
      </c>
      <c r="D24">
        <v>6</v>
      </c>
      <c r="E24">
        <v>8</v>
      </c>
      <c r="F24">
        <v>1</v>
      </c>
      <c r="G24" t="s">
        <v>77</v>
      </c>
      <c r="H24" t="s">
        <v>78</v>
      </c>
      <c r="I24" s="1">
        <v>45725</v>
      </c>
      <c r="J24" s="1">
        <v>45725</v>
      </c>
      <c r="K24">
        <v>1</v>
      </c>
      <c r="L24" t="s">
        <v>77</v>
      </c>
      <c r="M24" t="s">
        <v>101</v>
      </c>
      <c r="N24" t="s">
        <v>77</v>
      </c>
      <c r="O24" t="s">
        <v>77</v>
      </c>
      <c r="P24" t="s">
        <v>102</v>
      </c>
      <c r="Q24" t="s">
        <v>81</v>
      </c>
      <c r="R24" t="s">
        <v>82</v>
      </c>
      <c r="S24">
        <v>2</v>
      </c>
      <c r="T24" t="s">
        <v>83</v>
      </c>
      <c r="U24" t="s">
        <v>84</v>
      </c>
      <c r="V24">
        <v>2025</v>
      </c>
      <c r="W24">
        <v>1</v>
      </c>
      <c r="X24">
        <v>3</v>
      </c>
      <c r="Y24">
        <v>9</v>
      </c>
      <c r="AA24" t="s">
        <v>85</v>
      </c>
      <c r="AB24" t="s">
        <v>86</v>
      </c>
      <c r="AC24">
        <v>44</v>
      </c>
      <c r="AD24" s="2">
        <v>0.41666666666666669</v>
      </c>
      <c r="AE24">
        <v>1440</v>
      </c>
      <c r="AF24" t="s">
        <v>104</v>
      </c>
      <c r="AG24" t="s">
        <v>88</v>
      </c>
      <c r="AH24" t="s">
        <v>89</v>
      </c>
      <c r="AJ24">
        <v>54</v>
      </c>
      <c r="AK24">
        <v>25</v>
      </c>
      <c r="AL24">
        <v>19</v>
      </c>
      <c r="AM24">
        <v>42</v>
      </c>
      <c r="AN24">
        <v>2</v>
      </c>
      <c r="AO24">
        <v>2</v>
      </c>
      <c r="AP24">
        <v>2</v>
      </c>
      <c r="AQ24">
        <v>1</v>
      </c>
      <c r="AR24" t="s">
        <v>91</v>
      </c>
      <c r="AS24" t="s">
        <v>92</v>
      </c>
      <c r="AT24" t="s">
        <v>117</v>
      </c>
      <c r="AU24">
        <v>1</v>
      </c>
      <c r="AV24">
        <v>20</v>
      </c>
      <c r="AX24" t="s">
        <v>81</v>
      </c>
      <c r="AY24" t="s">
        <v>94</v>
      </c>
      <c r="AZ24">
        <v>0</v>
      </c>
      <c r="BB24">
        <v>47</v>
      </c>
      <c r="BC24">
        <v>95</v>
      </c>
      <c r="BD24">
        <v>2</v>
      </c>
      <c r="BE24">
        <v>6</v>
      </c>
      <c r="BF24">
        <v>0</v>
      </c>
      <c r="BG24">
        <v>7</v>
      </c>
      <c r="BI24">
        <v>7</v>
      </c>
      <c r="BJ24" t="s">
        <v>150</v>
      </c>
      <c r="BQ24">
        <v>0</v>
      </c>
      <c r="BR24">
        <v>0</v>
      </c>
      <c r="BS24">
        <v>0</v>
      </c>
      <c r="BT24">
        <v>0</v>
      </c>
      <c r="BU24">
        <v>0</v>
      </c>
      <c r="BY24">
        <f t="shared" si="0"/>
        <v>1</v>
      </c>
      <c r="BZ24" t="s">
        <v>131</v>
      </c>
      <c r="CA24" t="s">
        <v>96</v>
      </c>
    </row>
    <row r="25" spans="1:80" hidden="1">
      <c r="A25" t="s">
        <v>97</v>
      </c>
      <c r="C25" t="s">
        <v>99</v>
      </c>
      <c r="D25">
        <v>6</v>
      </c>
      <c r="E25">
        <v>8</v>
      </c>
      <c r="F25">
        <v>1</v>
      </c>
      <c r="G25" t="s">
        <v>77</v>
      </c>
      <c r="H25" t="s">
        <v>78</v>
      </c>
      <c r="I25" s="1">
        <v>45725</v>
      </c>
      <c r="J25" s="1">
        <v>45725</v>
      </c>
      <c r="K25">
        <v>1</v>
      </c>
      <c r="L25" t="s">
        <v>77</v>
      </c>
      <c r="M25" t="s">
        <v>101</v>
      </c>
      <c r="N25" t="s">
        <v>77</v>
      </c>
      <c r="O25" t="s">
        <v>77</v>
      </c>
      <c r="P25" t="s">
        <v>102</v>
      </c>
      <c r="Q25" t="s">
        <v>81</v>
      </c>
      <c r="R25" t="s">
        <v>82</v>
      </c>
      <c r="S25">
        <v>2</v>
      </c>
      <c r="T25" t="s">
        <v>83</v>
      </c>
      <c r="U25" t="s">
        <v>84</v>
      </c>
      <c r="V25">
        <v>2025</v>
      </c>
      <c r="W25">
        <v>1</v>
      </c>
      <c r="X25">
        <v>3</v>
      </c>
      <c r="Y25">
        <v>9</v>
      </c>
      <c r="AA25" t="s">
        <v>85</v>
      </c>
      <c r="AB25" t="s">
        <v>86</v>
      </c>
      <c r="AC25">
        <v>44</v>
      </c>
      <c r="AD25" s="2">
        <v>0.41666666666666669</v>
      </c>
      <c r="AE25">
        <v>1440</v>
      </c>
      <c r="AF25" t="s">
        <v>104</v>
      </c>
      <c r="AG25" t="s">
        <v>88</v>
      </c>
      <c r="AH25" t="s">
        <v>89</v>
      </c>
      <c r="AJ25">
        <v>54</v>
      </c>
      <c r="AK25">
        <v>25</v>
      </c>
      <c r="AL25">
        <v>19</v>
      </c>
      <c r="AM25">
        <v>42</v>
      </c>
      <c r="AN25">
        <v>2</v>
      </c>
      <c r="AO25">
        <v>2</v>
      </c>
      <c r="AP25">
        <v>2</v>
      </c>
      <c r="AQ25">
        <v>1</v>
      </c>
      <c r="AR25" t="s">
        <v>91</v>
      </c>
      <c r="AS25" t="s">
        <v>92</v>
      </c>
      <c r="AT25" t="s">
        <v>117</v>
      </c>
      <c r="AU25">
        <v>1</v>
      </c>
      <c r="AV25">
        <v>20</v>
      </c>
      <c r="AX25" t="s">
        <v>81</v>
      </c>
      <c r="AY25" t="s">
        <v>94</v>
      </c>
      <c r="AZ25">
        <v>0</v>
      </c>
      <c r="BB25">
        <v>48</v>
      </c>
      <c r="BC25">
        <v>102</v>
      </c>
      <c r="BD25">
        <v>2</v>
      </c>
      <c r="BE25">
        <v>6</v>
      </c>
      <c r="BF25">
        <v>0</v>
      </c>
      <c r="BG25">
        <v>8</v>
      </c>
      <c r="BI25">
        <v>8</v>
      </c>
      <c r="BQ25">
        <v>0</v>
      </c>
      <c r="BR25">
        <v>0</v>
      </c>
      <c r="BS25">
        <v>0</v>
      </c>
      <c r="BT25">
        <v>0</v>
      </c>
      <c r="BU25">
        <v>0</v>
      </c>
      <c r="BY25">
        <f t="shared" si="0"/>
        <v>1</v>
      </c>
      <c r="BZ25" t="s">
        <v>132</v>
      </c>
      <c r="CA25" t="s">
        <v>96</v>
      </c>
    </row>
    <row r="26" spans="1:80" hidden="1">
      <c r="A26" t="s">
        <v>97</v>
      </c>
      <c r="C26" t="s">
        <v>99</v>
      </c>
      <c r="D26">
        <v>6</v>
      </c>
      <c r="E26">
        <v>8</v>
      </c>
      <c r="F26">
        <v>1</v>
      </c>
      <c r="G26" t="s">
        <v>77</v>
      </c>
      <c r="H26" t="s">
        <v>78</v>
      </c>
      <c r="I26" s="1">
        <v>45725</v>
      </c>
      <c r="J26" s="1">
        <v>45725</v>
      </c>
      <c r="K26">
        <v>1</v>
      </c>
      <c r="L26" t="s">
        <v>77</v>
      </c>
      <c r="M26" t="s">
        <v>101</v>
      </c>
      <c r="N26" t="s">
        <v>77</v>
      </c>
      <c r="O26" t="s">
        <v>77</v>
      </c>
      <c r="P26" t="s">
        <v>102</v>
      </c>
      <c r="Q26" t="s">
        <v>81</v>
      </c>
      <c r="R26" t="s">
        <v>82</v>
      </c>
      <c r="S26">
        <v>2</v>
      </c>
      <c r="T26" t="s">
        <v>83</v>
      </c>
      <c r="U26" t="s">
        <v>84</v>
      </c>
      <c r="V26">
        <v>2025</v>
      </c>
      <c r="W26">
        <v>1</v>
      </c>
      <c r="X26">
        <v>3</v>
      </c>
      <c r="Y26">
        <v>9</v>
      </c>
      <c r="AA26" t="s">
        <v>85</v>
      </c>
      <c r="AB26" t="s">
        <v>86</v>
      </c>
      <c r="AC26">
        <v>44</v>
      </c>
      <c r="AD26" s="2">
        <v>0.41666666666666669</v>
      </c>
      <c r="AE26">
        <v>1440</v>
      </c>
      <c r="AF26" t="s">
        <v>104</v>
      </c>
      <c r="AG26" t="s">
        <v>88</v>
      </c>
      <c r="AH26" t="s">
        <v>89</v>
      </c>
      <c r="AJ26">
        <v>54</v>
      </c>
      <c r="AK26">
        <v>25</v>
      </c>
      <c r="AL26">
        <v>19</v>
      </c>
      <c r="AM26">
        <v>42</v>
      </c>
      <c r="AN26">
        <v>2</v>
      </c>
      <c r="AO26">
        <v>2</v>
      </c>
      <c r="AP26">
        <v>2</v>
      </c>
      <c r="AQ26">
        <v>1</v>
      </c>
      <c r="AR26" t="s">
        <v>91</v>
      </c>
      <c r="AS26" t="s">
        <v>92</v>
      </c>
      <c r="AT26" t="s">
        <v>117</v>
      </c>
      <c r="AU26">
        <v>1</v>
      </c>
      <c r="AV26">
        <v>20</v>
      </c>
      <c r="AX26" t="s">
        <v>81</v>
      </c>
      <c r="AY26" t="s">
        <v>94</v>
      </c>
      <c r="AZ26">
        <v>0</v>
      </c>
      <c r="BB26">
        <v>48</v>
      </c>
      <c r="BC26">
        <v>101</v>
      </c>
      <c r="BD26">
        <v>1</v>
      </c>
      <c r="BE26">
        <v>6</v>
      </c>
      <c r="BF26">
        <v>0</v>
      </c>
      <c r="BG26">
        <v>5</v>
      </c>
      <c r="BI26">
        <v>5</v>
      </c>
      <c r="BJ26" t="s">
        <v>150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Y26">
        <f t="shared" si="0"/>
        <v>1</v>
      </c>
      <c r="BZ26" t="s">
        <v>133</v>
      </c>
      <c r="CA26" t="s">
        <v>96</v>
      </c>
    </row>
    <row r="27" spans="1:80">
      <c r="A27" t="s">
        <v>97</v>
      </c>
      <c r="C27" t="s">
        <v>99</v>
      </c>
      <c r="D27">
        <v>6</v>
      </c>
      <c r="E27">
        <v>8</v>
      </c>
      <c r="F27">
        <v>1</v>
      </c>
      <c r="G27" t="s">
        <v>77</v>
      </c>
      <c r="H27" t="s">
        <v>78</v>
      </c>
      <c r="I27" s="1">
        <v>45725</v>
      </c>
      <c r="J27" s="1">
        <v>45725</v>
      </c>
      <c r="K27">
        <v>1</v>
      </c>
      <c r="L27" t="s">
        <v>77</v>
      </c>
      <c r="M27" t="s">
        <v>101</v>
      </c>
      <c r="N27" t="s">
        <v>77</v>
      </c>
      <c r="O27" t="s">
        <v>77</v>
      </c>
      <c r="P27" t="s">
        <v>102</v>
      </c>
      <c r="Q27" t="s">
        <v>81</v>
      </c>
      <c r="R27" t="s">
        <v>82</v>
      </c>
      <c r="S27">
        <v>2</v>
      </c>
      <c r="T27" t="s">
        <v>83</v>
      </c>
      <c r="U27" t="s">
        <v>84</v>
      </c>
      <c r="V27">
        <v>2025</v>
      </c>
      <c r="W27">
        <v>1</v>
      </c>
      <c r="X27">
        <v>3</v>
      </c>
      <c r="Y27">
        <v>9</v>
      </c>
      <c r="AA27" t="s">
        <v>85</v>
      </c>
      <c r="AB27" t="s">
        <v>86</v>
      </c>
      <c r="AC27">
        <v>44</v>
      </c>
      <c r="AD27" s="2">
        <v>0.41666666666666669</v>
      </c>
      <c r="AE27">
        <v>1440</v>
      </c>
      <c r="AF27" t="s">
        <v>104</v>
      </c>
      <c r="AG27" t="s">
        <v>88</v>
      </c>
      <c r="AH27" t="s">
        <v>89</v>
      </c>
      <c r="AJ27">
        <v>54</v>
      </c>
      <c r="AK27">
        <v>25</v>
      </c>
      <c r="AL27">
        <v>19</v>
      </c>
      <c r="AM27">
        <v>42</v>
      </c>
      <c r="AN27">
        <v>2</v>
      </c>
      <c r="AO27">
        <v>2</v>
      </c>
      <c r="AP27">
        <v>2</v>
      </c>
      <c r="AQ27">
        <v>1</v>
      </c>
      <c r="AR27" t="s">
        <v>91</v>
      </c>
      <c r="AS27" t="s">
        <v>92</v>
      </c>
      <c r="AT27" t="s">
        <v>117</v>
      </c>
      <c r="AU27">
        <v>1</v>
      </c>
      <c r="AV27">
        <v>20</v>
      </c>
      <c r="AX27" t="s">
        <v>81</v>
      </c>
      <c r="AY27" t="s">
        <v>94</v>
      </c>
      <c r="AZ27">
        <v>0</v>
      </c>
      <c r="BB27">
        <v>49</v>
      </c>
      <c r="BC27">
        <v>110</v>
      </c>
      <c r="BD27">
        <v>1</v>
      </c>
      <c r="BE27">
        <v>6</v>
      </c>
      <c r="BF27">
        <v>0</v>
      </c>
      <c r="BG27">
        <v>9</v>
      </c>
      <c r="BI27">
        <v>9</v>
      </c>
      <c r="BJ27" t="s">
        <v>150</v>
      </c>
      <c r="BQ27">
        <v>0</v>
      </c>
      <c r="BR27">
        <v>0</v>
      </c>
      <c r="BS27">
        <v>0</v>
      </c>
      <c r="BT27">
        <v>0</v>
      </c>
      <c r="BU27">
        <v>0</v>
      </c>
      <c r="BY27">
        <f t="shared" si="0"/>
        <v>1</v>
      </c>
      <c r="BZ27" t="s">
        <v>134</v>
      </c>
      <c r="CA27" t="s">
        <v>96</v>
      </c>
    </row>
    <row r="28" spans="1:80" hidden="1">
      <c r="A28" t="s">
        <v>97</v>
      </c>
      <c r="C28" t="s">
        <v>99</v>
      </c>
      <c r="D28">
        <v>6</v>
      </c>
      <c r="E28">
        <v>8</v>
      </c>
      <c r="F28">
        <v>1</v>
      </c>
      <c r="G28" t="s">
        <v>77</v>
      </c>
      <c r="H28" t="s">
        <v>78</v>
      </c>
      <c r="I28" s="1">
        <v>45725</v>
      </c>
      <c r="J28" s="1">
        <v>45725</v>
      </c>
      <c r="K28">
        <v>1</v>
      </c>
      <c r="L28" t="s">
        <v>77</v>
      </c>
      <c r="M28" t="s">
        <v>101</v>
      </c>
      <c r="N28" t="s">
        <v>77</v>
      </c>
      <c r="O28" t="s">
        <v>77</v>
      </c>
      <c r="P28" t="s">
        <v>102</v>
      </c>
      <c r="Q28" t="s">
        <v>81</v>
      </c>
      <c r="R28" t="s">
        <v>82</v>
      </c>
      <c r="S28">
        <v>2</v>
      </c>
      <c r="T28" t="s">
        <v>83</v>
      </c>
      <c r="U28" t="s">
        <v>84</v>
      </c>
      <c r="V28">
        <v>2025</v>
      </c>
      <c r="W28">
        <v>1</v>
      </c>
      <c r="X28">
        <v>3</v>
      </c>
      <c r="Y28">
        <v>9</v>
      </c>
      <c r="AA28" t="s">
        <v>85</v>
      </c>
      <c r="AB28" t="s">
        <v>86</v>
      </c>
      <c r="AC28">
        <v>44</v>
      </c>
      <c r="AD28" s="2">
        <v>0.41666666666666669</v>
      </c>
      <c r="AE28">
        <v>1440</v>
      </c>
      <c r="AF28" t="s">
        <v>104</v>
      </c>
      <c r="AG28" t="s">
        <v>88</v>
      </c>
      <c r="AH28" t="s">
        <v>89</v>
      </c>
      <c r="AJ28">
        <v>54</v>
      </c>
      <c r="AK28">
        <v>25</v>
      </c>
      <c r="AL28">
        <v>19</v>
      </c>
      <c r="AM28">
        <v>42</v>
      </c>
      <c r="AN28">
        <v>2</v>
      </c>
      <c r="AO28">
        <v>2</v>
      </c>
      <c r="AP28">
        <v>2</v>
      </c>
      <c r="AQ28">
        <v>1</v>
      </c>
      <c r="AR28" t="s">
        <v>91</v>
      </c>
      <c r="AS28" t="s">
        <v>92</v>
      </c>
      <c r="AT28" t="s">
        <v>117</v>
      </c>
      <c r="AU28">
        <v>1</v>
      </c>
      <c r="AV28">
        <v>20</v>
      </c>
      <c r="AX28" t="s">
        <v>81</v>
      </c>
      <c r="AY28" t="s">
        <v>94</v>
      </c>
      <c r="AZ28">
        <v>0</v>
      </c>
      <c r="BB28">
        <v>54</v>
      </c>
      <c r="BC28">
        <v>154</v>
      </c>
      <c r="BD28">
        <v>1</v>
      </c>
      <c r="BE28">
        <v>6</v>
      </c>
      <c r="BF28">
        <v>0</v>
      </c>
      <c r="BG28">
        <v>8</v>
      </c>
      <c r="BI28">
        <v>8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11</v>
      </c>
      <c r="BY28">
        <f t="shared" si="0"/>
        <v>1</v>
      </c>
      <c r="BZ28" t="s">
        <v>135</v>
      </c>
      <c r="CA28" t="s">
        <v>96</v>
      </c>
    </row>
    <row r="29" spans="1:80" s="5" customFormat="1">
      <c r="A29" s="5" t="s">
        <v>97</v>
      </c>
      <c r="B29" s="5" t="s">
        <v>98</v>
      </c>
      <c r="C29" s="5" t="s">
        <v>99</v>
      </c>
      <c r="D29" s="5">
        <v>6</v>
      </c>
      <c r="E29" s="5">
        <v>8</v>
      </c>
      <c r="F29" s="5">
        <v>1</v>
      </c>
      <c r="G29" s="5" t="s">
        <v>77</v>
      </c>
      <c r="H29" s="5" t="s">
        <v>100</v>
      </c>
      <c r="I29" s="6">
        <v>45726</v>
      </c>
      <c r="J29" s="6">
        <v>45726</v>
      </c>
      <c r="K29" s="5">
        <v>1</v>
      </c>
      <c r="L29" s="5" t="s">
        <v>77</v>
      </c>
      <c r="M29" s="5" t="s">
        <v>101</v>
      </c>
      <c r="N29" s="5" t="s">
        <v>77</v>
      </c>
      <c r="O29" s="5" t="s">
        <v>77</v>
      </c>
      <c r="P29" s="5" t="s">
        <v>102</v>
      </c>
      <c r="Q29" s="5" t="s">
        <v>81</v>
      </c>
      <c r="R29" s="5" t="s">
        <v>82</v>
      </c>
      <c r="S29" s="5">
        <v>2</v>
      </c>
      <c r="T29" s="5" t="s">
        <v>83</v>
      </c>
      <c r="U29" s="5" t="s">
        <v>84</v>
      </c>
      <c r="V29" s="5">
        <v>2025</v>
      </c>
      <c r="W29" s="5">
        <v>1</v>
      </c>
      <c r="X29" s="5">
        <v>3</v>
      </c>
      <c r="Y29" s="5">
        <v>9</v>
      </c>
      <c r="AA29" s="5" t="s">
        <v>103</v>
      </c>
      <c r="AB29" s="5" t="s">
        <v>86</v>
      </c>
      <c r="AC29" s="5">
        <v>56</v>
      </c>
      <c r="AD29" s="7">
        <v>0.45833333333333331</v>
      </c>
      <c r="AE29" s="5">
        <v>1440</v>
      </c>
      <c r="AF29" s="5" t="s">
        <v>104</v>
      </c>
      <c r="AG29" s="5" t="s">
        <v>88</v>
      </c>
      <c r="AH29" s="5" t="s">
        <v>89</v>
      </c>
      <c r="AJ29" s="5">
        <v>54</v>
      </c>
      <c r="AK29" s="5">
        <v>25</v>
      </c>
      <c r="AL29" s="5">
        <v>19</v>
      </c>
      <c r="AM29" s="5">
        <v>42</v>
      </c>
      <c r="AN29" s="5">
        <v>3</v>
      </c>
      <c r="AO29" s="5">
        <v>3</v>
      </c>
      <c r="AP29" s="5">
        <v>2</v>
      </c>
      <c r="AQ29" s="5">
        <v>1</v>
      </c>
      <c r="AR29" s="5" t="s">
        <v>91</v>
      </c>
      <c r="AS29" s="5" t="s">
        <v>92</v>
      </c>
      <c r="AT29" s="5" t="s">
        <v>105</v>
      </c>
      <c r="AU29" s="5">
        <v>0</v>
      </c>
      <c r="AW29" s="5" t="s">
        <v>98</v>
      </c>
      <c r="AX29" s="5" t="s">
        <v>81</v>
      </c>
      <c r="AY29" s="5" t="s">
        <v>94</v>
      </c>
      <c r="AZ29" s="5">
        <v>0</v>
      </c>
      <c r="BB29" s="5">
        <v>48</v>
      </c>
      <c r="BC29" s="5">
        <v>112</v>
      </c>
      <c r="BD29" s="5">
        <v>1</v>
      </c>
      <c r="BE29" s="5">
        <v>6</v>
      </c>
      <c r="BF29" s="5">
        <v>0</v>
      </c>
      <c r="BG29" s="5">
        <v>9</v>
      </c>
      <c r="BI29" s="5">
        <v>9</v>
      </c>
      <c r="BJ29" s="5" t="s">
        <v>150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Y29" s="5">
        <f t="shared" si="0"/>
        <v>1</v>
      </c>
      <c r="BZ29" s="5" t="s">
        <v>106</v>
      </c>
      <c r="CA29" s="5" t="s">
        <v>96</v>
      </c>
      <c r="CB29" s="5" t="s">
        <v>161</v>
      </c>
    </row>
    <row r="30" spans="1:80" hidden="1">
      <c r="A30" t="s">
        <v>97</v>
      </c>
      <c r="B30" t="s">
        <v>98</v>
      </c>
      <c r="C30" t="s">
        <v>99</v>
      </c>
      <c r="D30">
        <v>6</v>
      </c>
      <c r="E30">
        <v>8</v>
      </c>
      <c r="F30">
        <v>1</v>
      </c>
      <c r="G30" t="s">
        <v>77</v>
      </c>
      <c r="H30" t="s">
        <v>100</v>
      </c>
      <c r="I30" s="1">
        <v>45726</v>
      </c>
      <c r="J30" s="1">
        <v>45726</v>
      </c>
      <c r="K30">
        <v>1</v>
      </c>
      <c r="L30" t="s">
        <v>77</v>
      </c>
      <c r="M30" t="s">
        <v>101</v>
      </c>
      <c r="N30" t="s">
        <v>77</v>
      </c>
      <c r="O30" t="s">
        <v>77</v>
      </c>
      <c r="P30" t="s">
        <v>102</v>
      </c>
      <c r="Q30" t="s">
        <v>81</v>
      </c>
      <c r="R30" t="s">
        <v>82</v>
      </c>
      <c r="S30">
        <v>2</v>
      </c>
      <c r="T30" t="s">
        <v>83</v>
      </c>
      <c r="U30" t="s">
        <v>84</v>
      </c>
      <c r="V30">
        <v>2025</v>
      </c>
      <c r="W30">
        <v>1</v>
      </c>
      <c r="X30">
        <v>3</v>
      </c>
      <c r="Y30">
        <v>9</v>
      </c>
      <c r="AA30" t="s">
        <v>103</v>
      </c>
      <c r="AB30" t="s">
        <v>86</v>
      </c>
      <c r="AC30">
        <v>56</v>
      </c>
      <c r="AD30" s="2">
        <v>0.45833333333333331</v>
      </c>
      <c r="AE30">
        <v>1440</v>
      </c>
      <c r="AF30" t="s">
        <v>104</v>
      </c>
      <c r="AG30" t="s">
        <v>88</v>
      </c>
      <c r="AH30" t="s">
        <v>89</v>
      </c>
      <c r="AJ30">
        <v>54</v>
      </c>
      <c r="AK30">
        <v>25</v>
      </c>
      <c r="AL30">
        <v>19</v>
      </c>
      <c r="AM30">
        <v>42</v>
      </c>
      <c r="AN30">
        <v>3</v>
      </c>
      <c r="AO30">
        <v>3</v>
      </c>
      <c r="AP30">
        <v>2</v>
      </c>
      <c r="AQ30">
        <v>1</v>
      </c>
      <c r="AR30" t="s">
        <v>91</v>
      </c>
      <c r="AS30" t="s">
        <v>92</v>
      </c>
      <c r="AT30" t="s">
        <v>105</v>
      </c>
      <c r="AU30">
        <v>0</v>
      </c>
      <c r="AW30" t="s">
        <v>98</v>
      </c>
      <c r="AX30" t="s">
        <v>81</v>
      </c>
      <c r="AY30" t="s">
        <v>94</v>
      </c>
      <c r="AZ30">
        <v>0</v>
      </c>
      <c r="BB30">
        <v>49</v>
      </c>
      <c r="BC30">
        <v>125</v>
      </c>
      <c r="BD30">
        <v>2</v>
      </c>
      <c r="BE30">
        <v>6</v>
      </c>
      <c r="BF30">
        <v>0</v>
      </c>
      <c r="BG30">
        <v>7</v>
      </c>
      <c r="BI30">
        <v>7</v>
      </c>
      <c r="BJ30" t="s">
        <v>150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3</v>
      </c>
      <c r="BY30">
        <f t="shared" si="0"/>
        <v>1</v>
      </c>
      <c r="BZ30" t="s">
        <v>107</v>
      </c>
      <c r="CA30" t="s">
        <v>96</v>
      </c>
    </row>
    <row r="31" spans="1:80" hidden="1">
      <c r="A31" t="s">
        <v>97</v>
      </c>
      <c r="B31" t="s">
        <v>98</v>
      </c>
      <c r="C31" t="s">
        <v>99</v>
      </c>
      <c r="D31">
        <v>6</v>
      </c>
      <c r="E31">
        <v>8</v>
      </c>
      <c r="F31">
        <v>1</v>
      </c>
      <c r="G31" t="s">
        <v>77</v>
      </c>
      <c r="H31" t="s">
        <v>100</v>
      </c>
      <c r="I31" s="1">
        <v>45726</v>
      </c>
      <c r="J31" s="1">
        <v>45726</v>
      </c>
      <c r="K31">
        <v>1</v>
      </c>
      <c r="L31" t="s">
        <v>77</v>
      </c>
      <c r="M31" t="s">
        <v>101</v>
      </c>
      <c r="N31" t="s">
        <v>77</v>
      </c>
      <c r="O31" t="s">
        <v>77</v>
      </c>
      <c r="P31" t="s">
        <v>102</v>
      </c>
      <c r="Q31" t="s">
        <v>81</v>
      </c>
      <c r="R31" t="s">
        <v>82</v>
      </c>
      <c r="S31">
        <v>2</v>
      </c>
      <c r="T31" t="s">
        <v>83</v>
      </c>
      <c r="U31" t="s">
        <v>84</v>
      </c>
      <c r="V31">
        <v>2025</v>
      </c>
      <c r="W31">
        <v>1</v>
      </c>
      <c r="X31">
        <v>3</v>
      </c>
      <c r="Y31">
        <v>9</v>
      </c>
      <c r="AA31" t="s">
        <v>103</v>
      </c>
      <c r="AB31" t="s">
        <v>86</v>
      </c>
      <c r="AC31">
        <v>56</v>
      </c>
      <c r="AD31" s="2">
        <v>0.45833333333333331</v>
      </c>
      <c r="AE31">
        <v>1440</v>
      </c>
      <c r="AF31" t="s">
        <v>104</v>
      </c>
      <c r="AG31" t="s">
        <v>88</v>
      </c>
      <c r="AH31" t="s">
        <v>89</v>
      </c>
      <c r="AJ31">
        <v>54</v>
      </c>
      <c r="AK31">
        <v>25</v>
      </c>
      <c r="AL31">
        <v>19</v>
      </c>
      <c r="AM31">
        <v>42</v>
      </c>
      <c r="AN31">
        <v>3</v>
      </c>
      <c r="AO31">
        <v>3</v>
      </c>
      <c r="AP31">
        <v>2</v>
      </c>
      <c r="AQ31">
        <v>1</v>
      </c>
      <c r="AR31" t="s">
        <v>91</v>
      </c>
      <c r="AS31" t="s">
        <v>92</v>
      </c>
      <c r="AT31" t="s">
        <v>105</v>
      </c>
      <c r="AU31">
        <v>0</v>
      </c>
      <c r="AW31" t="s">
        <v>98</v>
      </c>
      <c r="AX31" t="s">
        <v>81</v>
      </c>
      <c r="AY31" t="s">
        <v>94</v>
      </c>
      <c r="AZ31">
        <v>0</v>
      </c>
      <c r="BB31">
        <v>53</v>
      </c>
      <c r="BC31">
        <v>161</v>
      </c>
      <c r="BD31">
        <v>2</v>
      </c>
      <c r="BE31">
        <v>6</v>
      </c>
      <c r="BF31">
        <v>0</v>
      </c>
      <c r="BG31">
        <v>7</v>
      </c>
      <c r="BI31">
        <v>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12</v>
      </c>
      <c r="BY31">
        <f t="shared" si="0"/>
        <v>1</v>
      </c>
      <c r="BZ31" t="s">
        <v>108</v>
      </c>
      <c r="CA31" t="s">
        <v>96</v>
      </c>
    </row>
    <row r="32" spans="1:80" hidden="1">
      <c r="A32" t="s">
        <v>97</v>
      </c>
      <c r="B32" t="s">
        <v>98</v>
      </c>
      <c r="C32" t="s">
        <v>99</v>
      </c>
      <c r="D32">
        <v>6</v>
      </c>
      <c r="E32">
        <v>8</v>
      </c>
      <c r="F32">
        <v>1</v>
      </c>
      <c r="G32" t="s">
        <v>77</v>
      </c>
      <c r="H32" t="s">
        <v>100</v>
      </c>
      <c r="I32" s="1">
        <v>45726</v>
      </c>
      <c r="J32" s="1">
        <v>45726</v>
      </c>
      <c r="K32">
        <v>1</v>
      </c>
      <c r="L32" t="s">
        <v>77</v>
      </c>
      <c r="M32" t="s">
        <v>101</v>
      </c>
      <c r="N32" t="s">
        <v>77</v>
      </c>
      <c r="O32" t="s">
        <v>77</v>
      </c>
      <c r="P32" t="s">
        <v>102</v>
      </c>
      <c r="Q32" t="s">
        <v>81</v>
      </c>
      <c r="R32" t="s">
        <v>82</v>
      </c>
      <c r="S32">
        <v>2</v>
      </c>
      <c r="T32" t="s">
        <v>83</v>
      </c>
      <c r="U32" t="s">
        <v>84</v>
      </c>
      <c r="V32">
        <v>2025</v>
      </c>
      <c r="W32">
        <v>1</v>
      </c>
      <c r="X32">
        <v>3</v>
      </c>
      <c r="Y32">
        <v>9</v>
      </c>
      <c r="AA32" t="s">
        <v>103</v>
      </c>
      <c r="AB32" t="s">
        <v>86</v>
      </c>
      <c r="AC32">
        <v>56</v>
      </c>
      <c r="AD32" s="2">
        <v>0.45833333333333331</v>
      </c>
      <c r="AE32">
        <v>1440</v>
      </c>
      <c r="AF32" t="s">
        <v>104</v>
      </c>
      <c r="AG32" t="s">
        <v>88</v>
      </c>
      <c r="AH32" t="s">
        <v>89</v>
      </c>
      <c r="AJ32">
        <v>54</v>
      </c>
      <c r="AK32">
        <v>25</v>
      </c>
      <c r="AL32">
        <v>19</v>
      </c>
      <c r="AM32">
        <v>42</v>
      </c>
      <c r="AN32">
        <v>3</v>
      </c>
      <c r="AO32">
        <v>3</v>
      </c>
      <c r="AP32">
        <v>2</v>
      </c>
      <c r="AQ32">
        <v>1</v>
      </c>
      <c r="AR32" t="s">
        <v>91</v>
      </c>
      <c r="AS32" t="s">
        <v>92</v>
      </c>
      <c r="AT32" t="s">
        <v>105</v>
      </c>
      <c r="AU32">
        <v>0</v>
      </c>
      <c r="AW32" t="s">
        <v>98</v>
      </c>
      <c r="AX32" t="s">
        <v>81</v>
      </c>
      <c r="AY32" t="s">
        <v>94</v>
      </c>
      <c r="AZ32">
        <v>0</v>
      </c>
      <c r="BB32">
        <v>53</v>
      </c>
      <c r="BC32">
        <v>181</v>
      </c>
      <c r="BD32">
        <v>2</v>
      </c>
      <c r="BE32">
        <v>6</v>
      </c>
      <c r="BF32">
        <v>0</v>
      </c>
      <c r="BG32">
        <v>7</v>
      </c>
      <c r="BI32">
        <v>7</v>
      </c>
      <c r="BJ32" t="s">
        <v>150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12</v>
      </c>
      <c r="BY32">
        <f t="shared" si="0"/>
        <v>1</v>
      </c>
      <c r="BZ32" t="s">
        <v>109</v>
      </c>
      <c r="CA32" t="s">
        <v>96</v>
      </c>
    </row>
    <row r="33" spans="1:79" hidden="1">
      <c r="A33" t="s">
        <v>97</v>
      </c>
      <c r="B33" t="s">
        <v>98</v>
      </c>
      <c r="C33" t="s">
        <v>99</v>
      </c>
      <c r="D33">
        <v>6</v>
      </c>
      <c r="E33">
        <v>8</v>
      </c>
      <c r="F33">
        <v>1</v>
      </c>
      <c r="G33" t="s">
        <v>77</v>
      </c>
      <c r="H33" t="s">
        <v>100</v>
      </c>
      <c r="I33" s="1">
        <v>45726</v>
      </c>
      <c r="J33" s="1">
        <v>45726</v>
      </c>
      <c r="K33">
        <v>1</v>
      </c>
      <c r="L33" t="s">
        <v>77</v>
      </c>
      <c r="M33" t="s">
        <v>101</v>
      </c>
      <c r="N33" t="s">
        <v>77</v>
      </c>
      <c r="O33" t="s">
        <v>77</v>
      </c>
      <c r="P33" t="s">
        <v>102</v>
      </c>
      <c r="Q33" t="s">
        <v>81</v>
      </c>
      <c r="R33" t="s">
        <v>82</v>
      </c>
      <c r="S33">
        <v>2</v>
      </c>
      <c r="T33" t="s">
        <v>83</v>
      </c>
      <c r="U33" t="s">
        <v>84</v>
      </c>
      <c r="V33">
        <v>2025</v>
      </c>
      <c r="W33">
        <v>1</v>
      </c>
      <c r="X33">
        <v>3</v>
      </c>
      <c r="Y33">
        <v>9</v>
      </c>
      <c r="AA33" t="s">
        <v>103</v>
      </c>
      <c r="AB33" t="s">
        <v>86</v>
      </c>
      <c r="AC33">
        <v>56</v>
      </c>
      <c r="AD33" s="2">
        <v>0.45833333333333331</v>
      </c>
      <c r="AE33">
        <v>1440</v>
      </c>
      <c r="AF33" t="s">
        <v>104</v>
      </c>
      <c r="AG33" t="s">
        <v>88</v>
      </c>
      <c r="AH33" t="s">
        <v>89</v>
      </c>
      <c r="AJ33">
        <v>54</v>
      </c>
      <c r="AK33">
        <v>25</v>
      </c>
      <c r="AL33">
        <v>19</v>
      </c>
      <c r="AM33">
        <v>42</v>
      </c>
      <c r="AN33">
        <v>3</v>
      </c>
      <c r="AO33">
        <v>3</v>
      </c>
      <c r="AP33">
        <v>2</v>
      </c>
      <c r="AQ33">
        <v>1</v>
      </c>
      <c r="AR33" t="s">
        <v>91</v>
      </c>
      <c r="AS33" t="s">
        <v>92</v>
      </c>
      <c r="AT33" t="s">
        <v>105</v>
      </c>
      <c r="AU33">
        <v>0</v>
      </c>
      <c r="AW33" t="s">
        <v>98</v>
      </c>
      <c r="AX33" t="s">
        <v>81</v>
      </c>
      <c r="AY33" t="s">
        <v>94</v>
      </c>
      <c r="AZ33">
        <v>0</v>
      </c>
      <c r="BB33">
        <v>55</v>
      </c>
      <c r="BC33">
        <v>165</v>
      </c>
      <c r="BD33">
        <v>2</v>
      </c>
      <c r="BE33">
        <v>6</v>
      </c>
      <c r="BF33">
        <v>0</v>
      </c>
      <c r="BG33">
        <v>7</v>
      </c>
      <c r="BI33">
        <v>7</v>
      </c>
      <c r="BJ33" t="s">
        <v>150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4</v>
      </c>
      <c r="BY33">
        <f t="shared" si="0"/>
        <v>1</v>
      </c>
      <c r="BZ33" t="s">
        <v>110</v>
      </c>
      <c r="CA33" t="s">
        <v>96</v>
      </c>
    </row>
    <row r="34" spans="1:79" hidden="1">
      <c r="A34" t="s">
        <v>97</v>
      </c>
      <c r="B34" t="s">
        <v>98</v>
      </c>
      <c r="C34" t="s">
        <v>99</v>
      </c>
      <c r="D34">
        <v>6</v>
      </c>
      <c r="E34">
        <v>8</v>
      </c>
      <c r="F34">
        <v>1</v>
      </c>
      <c r="G34" t="s">
        <v>77</v>
      </c>
      <c r="H34" t="s">
        <v>100</v>
      </c>
      <c r="I34" s="1">
        <v>45726</v>
      </c>
      <c r="J34" s="1">
        <v>45726</v>
      </c>
      <c r="K34">
        <v>1</v>
      </c>
      <c r="L34" t="s">
        <v>77</v>
      </c>
      <c r="M34" t="s">
        <v>101</v>
      </c>
      <c r="N34" t="s">
        <v>77</v>
      </c>
      <c r="O34" t="s">
        <v>77</v>
      </c>
      <c r="P34" t="s">
        <v>102</v>
      </c>
      <c r="Q34" t="s">
        <v>81</v>
      </c>
      <c r="R34" t="s">
        <v>82</v>
      </c>
      <c r="S34">
        <v>2</v>
      </c>
      <c r="T34" t="s">
        <v>83</v>
      </c>
      <c r="U34" t="s">
        <v>84</v>
      </c>
      <c r="V34">
        <v>2025</v>
      </c>
      <c r="W34">
        <v>1</v>
      </c>
      <c r="X34">
        <v>3</v>
      </c>
      <c r="Y34">
        <v>9</v>
      </c>
      <c r="AA34" t="s">
        <v>103</v>
      </c>
      <c r="AB34" t="s">
        <v>86</v>
      </c>
      <c r="AC34">
        <v>56</v>
      </c>
      <c r="AD34" s="2">
        <v>0.45833333333333331</v>
      </c>
      <c r="AE34">
        <v>1440</v>
      </c>
      <c r="AF34" t="s">
        <v>104</v>
      </c>
      <c r="AG34" t="s">
        <v>88</v>
      </c>
      <c r="AH34" t="s">
        <v>89</v>
      </c>
      <c r="AJ34">
        <v>54</v>
      </c>
      <c r="AK34">
        <v>25</v>
      </c>
      <c r="AL34">
        <v>19</v>
      </c>
      <c r="AM34">
        <v>42</v>
      </c>
      <c r="AN34">
        <v>3</v>
      </c>
      <c r="AO34">
        <v>3</v>
      </c>
      <c r="AP34">
        <v>2</v>
      </c>
      <c r="AQ34">
        <v>1</v>
      </c>
      <c r="AR34" t="s">
        <v>91</v>
      </c>
      <c r="AS34" t="s">
        <v>92</v>
      </c>
      <c r="AT34" t="s">
        <v>105</v>
      </c>
      <c r="AU34">
        <v>0</v>
      </c>
      <c r="AW34" t="s">
        <v>98</v>
      </c>
      <c r="AX34" t="s">
        <v>81</v>
      </c>
      <c r="AY34" t="s">
        <v>94</v>
      </c>
      <c r="AZ34">
        <v>0</v>
      </c>
      <c r="BB34">
        <v>56</v>
      </c>
      <c r="BC34">
        <v>188</v>
      </c>
      <c r="BD34">
        <v>2</v>
      </c>
      <c r="BE34">
        <v>6</v>
      </c>
      <c r="BF34">
        <v>0</v>
      </c>
      <c r="BG34">
        <v>8</v>
      </c>
      <c r="BI34">
        <v>8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13</v>
      </c>
      <c r="BY34">
        <f t="shared" si="0"/>
        <v>1</v>
      </c>
      <c r="BZ34" t="s">
        <v>111</v>
      </c>
      <c r="CA34" t="s">
        <v>96</v>
      </c>
    </row>
    <row r="35" spans="1:79" hidden="1">
      <c r="A35" t="s">
        <v>97</v>
      </c>
      <c r="B35" t="s">
        <v>98</v>
      </c>
      <c r="C35" t="s">
        <v>99</v>
      </c>
      <c r="D35">
        <v>6</v>
      </c>
      <c r="E35">
        <v>8</v>
      </c>
      <c r="F35">
        <v>1</v>
      </c>
      <c r="G35" t="s">
        <v>77</v>
      </c>
      <c r="H35" t="s">
        <v>100</v>
      </c>
      <c r="I35" s="1">
        <v>45726</v>
      </c>
      <c r="J35" s="1">
        <v>45726</v>
      </c>
      <c r="K35">
        <v>1</v>
      </c>
      <c r="L35" t="s">
        <v>77</v>
      </c>
      <c r="M35" t="s">
        <v>101</v>
      </c>
      <c r="N35" t="s">
        <v>77</v>
      </c>
      <c r="O35" t="s">
        <v>77</v>
      </c>
      <c r="P35" t="s">
        <v>102</v>
      </c>
      <c r="Q35" t="s">
        <v>81</v>
      </c>
      <c r="R35" t="s">
        <v>82</v>
      </c>
      <c r="S35">
        <v>2</v>
      </c>
      <c r="T35" t="s">
        <v>83</v>
      </c>
      <c r="U35" t="s">
        <v>84</v>
      </c>
      <c r="V35">
        <v>2025</v>
      </c>
      <c r="W35">
        <v>1</v>
      </c>
      <c r="X35">
        <v>3</v>
      </c>
      <c r="Y35">
        <v>9</v>
      </c>
      <c r="AA35" t="s">
        <v>103</v>
      </c>
      <c r="AB35" t="s">
        <v>86</v>
      </c>
      <c r="AC35">
        <v>56</v>
      </c>
      <c r="AD35" s="2">
        <v>0.45833333333333331</v>
      </c>
      <c r="AE35">
        <v>1440</v>
      </c>
      <c r="AF35" t="s">
        <v>104</v>
      </c>
      <c r="AG35" t="s">
        <v>88</v>
      </c>
      <c r="AH35" t="s">
        <v>89</v>
      </c>
      <c r="AJ35">
        <v>54</v>
      </c>
      <c r="AK35">
        <v>25</v>
      </c>
      <c r="AL35">
        <v>19</v>
      </c>
      <c r="AM35">
        <v>42</v>
      </c>
      <c r="AN35">
        <v>3</v>
      </c>
      <c r="AO35">
        <v>3</v>
      </c>
      <c r="AP35">
        <v>2</v>
      </c>
      <c r="AQ35">
        <v>1</v>
      </c>
      <c r="AR35" t="s">
        <v>91</v>
      </c>
      <c r="AS35" t="s">
        <v>92</v>
      </c>
      <c r="AT35" t="s">
        <v>105</v>
      </c>
      <c r="AU35">
        <v>0</v>
      </c>
      <c r="AW35" t="s">
        <v>98</v>
      </c>
      <c r="AX35" t="s">
        <v>81</v>
      </c>
      <c r="AY35" t="s">
        <v>94</v>
      </c>
      <c r="AZ35">
        <v>0</v>
      </c>
      <c r="BB35">
        <v>56</v>
      </c>
      <c r="BC35">
        <v>173</v>
      </c>
      <c r="BD35">
        <v>2</v>
      </c>
      <c r="BE35">
        <v>6</v>
      </c>
      <c r="BF35">
        <v>0</v>
      </c>
      <c r="BG35">
        <v>8</v>
      </c>
      <c r="BI35">
        <v>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9</v>
      </c>
      <c r="BY35">
        <f t="shared" si="0"/>
        <v>1</v>
      </c>
      <c r="BZ35" t="s">
        <v>112</v>
      </c>
      <c r="CA35" t="s">
        <v>96</v>
      </c>
    </row>
    <row r="36" spans="1:79" hidden="1">
      <c r="A36" t="s">
        <v>97</v>
      </c>
      <c r="B36" t="s">
        <v>98</v>
      </c>
      <c r="C36" t="s">
        <v>99</v>
      </c>
      <c r="D36">
        <v>6</v>
      </c>
      <c r="E36">
        <v>8</v>
      </c>
      <c r="F36">
        <v>1</v>
      </c>
      <c r="G36" t="s">
        <v>77</v>
      </c>
      <c r="H36" t="s">
        <v>100</v>
      </c>
      <c r="I36" s="1">
        <v>45726</v>
      </c>
      <c r="J36" s="1">
        <v>45726</v>
      </c>
      <c r="K36">
        <v>1</v>
      </c>
      <c r="L36" t="s">
        <v>77</v>
      </c>
      <c r="M36" t="s">
        <v>101</v>
      </c>
      <c r="N36" t="s">
        <v>77</v>
      </c>
      <c r="O36" t="s">
        <v>77</v>
      </c>
      <c r="P36" t="s">
        <v>102</v>
      </c>
      <c r="Q36" t="s">
        <v>81</v>
      </c>
      <c r="R36" t="s">
        <v>82</v>
      </c>
      <c r="S36">
        <v>2</v>
      </c>
      <c r="T36" t="s">
        <v>83</v>
      </c>
      <c r="U36" t="s">
        <v>84</v>
      </c>
      <c r="V36">
        <v>2025</v>
      </c>
      <c r="W36">
        <v>1</v>
      </c>
      <c r="X36">
        <v>3</v>
      </c>
      <c r="Y36">
        <v>9</v>
      </c>
      <c r="AA36" t="s">
        <v>103</v>
      </c>
      <c r="AB36" t="s">
        <v>86</v>
      </c>
      <c r="AC36">
        <v>56</v>
      </c>
      <c r="AD36" s="2">
        <v>0.45833333333333331</v>
      </c>
      <c r="AE36">
        <v>1440</v>
      </c>
      <c r="AF36" t="s">
        <v>104</v>
      </c>
      <c r="AG36" t="s">
        <v>88</v>
      </c>
      <c r="AH36" t="s">
        <v>89</v>
      </c>
      <c r="AJ36">
        <v>54</v>
      </c>
      <c r="AK36">
        <v>25</v>
      </c>
      <c r="AL36">
        <v>19</v>
      </c>
      <c r="AM36">
        <v>42</v>
      </c>
      <c r="AN36">
        <v>3</v>
      </c>
      <c r="AO36">
        <v>3</v>
      </c>
      <c r="AP36">
        <v>2</v>
      </c>
      <c r="AQ36">
        <v>1</v>
      </c>
      <c r="AR36" t="s">
        <v>91</v>
      </c>
      <c r="AS36" t="s">
        <v>92</v>
      </c>
      <c r="AT36" t="s">
        <v>105</v>
      </c>
      <c r="AU36">
        <v>0</v>
      </c>
      <c r="AW36" t="s">
        <v>98</v>
      </c>
      <c r="AX36" t="s">
        <v>81</v>
      </c>
      <c r="AY36" t="s">
        <v>94</v>
      </c>
      <c r="AZ36">
        <v>0</v>
      </c>
      <c r="BB36">
        <v>56</v>
      </c>
      <c r="BC36">
        <v>192</v>
      </c>
      <c r="BD36">
        <v>2</v>
      </c>
      <c r="BE36">
        <v>6</v>
      </c>
      <c r="BF36">
        <v>0</v>
      </c>
      <c r="BG36">
        <v>8</v>
      </c>
      <c r="BI36">
        <v>7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13</v>
      </c>
      <c r="BY36">
        <f t="shared" si="0"/>
        <v>0</v>
      </c>
      <c r="BZ36" t="s">
        <v>113</v>
      </c>
      <c r="CA36" t="s">
        <v>96</v>
      </c>
    </row>
    <row r="37" spans="1:79" hidden="1">
      <c r="A37" t="s">
        <v>97</v>
      </c>
      <c r="B37" t="s">
        <v>98</v>
      </c>
      <c r="C37" t="s">
        <v>99</v>
      </c>
      <c r="D37">
        <v>6</v>
      </c>
      <c r="E37">
        <v>8</v>
      </c>
      <c r="F37">
        <v>1</v>
      </c>
      <c r="G37" t="s">
        <v>77</v>
      </c>
      <c r="H37" t="s">
        <v>100</v>
      </c>
      <c r="I37" s="1">
        <v>45726</v>
      </c>
      <c r="J37" s="1">
        <v>45726</v>
      </c>
      <c r="K37">
        <v>1</v>
      </c>
      <c r="L37" t="s">
        <v>77</v>
      </c>
      <c r="M37" t="s">
        <v>101</v>
      </c>
      <c r="N37" t="s">
        <v>77</v>
      </c>
      <c r="O37" t="s">
        <v>77</v>
      </c>
      <c r="P37" t="s">
        <v>102</v>
      </c>
      <c r="Q37" t="s">
        <v>81</v>
      </c>
      <c r="R37" t="s">
        <v>82</v>
      </c>
      <c r="S37">
        <v>2</v>
      </c>
      <c r="T37" t="s">
        <v>83</v>
      </c>
      <c r="U37" t="s">
        <v>84</v>
      </c>
      <c r="V37">
        <v>2025</v>
      </c>
      <c r="W37">
        <v>1</v>
      </c>
      <c r="X37">
        <v>3</v>
      </c>
      <c r="Y37">
        <v>9</v>
      </c>
      <c r="AA37" t="s">
        <v>103</v>
      </c>
      <c r="AB37" t="s">
        <v>86</v>
      </c>
      <c r="AC37">
        <v>56</v>
      </c>
      <c r="AD37" s="2">
        <v>0.45833333333333331</v>
      </c>
      <c r="AE37">
        <v>1440</v>
      </c>
      <c r="AF37" t="s">
        <v>104</v>
      </c>
      <c r="AG37" t="s">
        <v>88</v>
      </c>
      <c r="AH37" t="s">
        <v>89</v>
      </c>
      <c r="AJ37">
        <v>54</v>
      </c>
      <c r="AK37">
        <v>25</v>
      </c>
      <c r="AL37">
        <v>19</v>
      </c>
      <c r="AM37">
        <v>42</v>
      </c>
      <c r="AN37">
        <v>3</v>
      </c>
      <c r="AO37">
        <v>3</v>
      </c>
      <c r="AP37">
        <v>2</v>
      </c>
      <c r="AQ37">
        <v>1</v>
      </c>
      <c r="AR37" t="s">
        <v>91</v>
      </c>
      <c r="AS37" t="s">
        <v>92</v>
      </c>
      <c r="AT37" t="s">
        <v>105</v>
      </c>
      <c r="AU37">
        <v>0</v>
      </c>
      <c r="AW37" t="s">
        <v>98</v>
      </c>
      <c r="AX37" t="s">
        <v>81</v>
      </c>
      <c r="AY37" t="s">
        <v>94</v>
      </c>
      <c r="AZ37">
        <v>0</v>
      </c>
      <c r="BB37">
        <v>57</v>
      </c>
      <c r="BC37">
        <v>206</v>
      </c>
      <c r="BD37">
        <v>2</v>
      </c>
      <c r="BE37">
        <v>6</v>
      </c>
      <c r="BF37">
        <v>0</v>
      </c>
      <c r="BG37">
        <v>9</v>
      </c>
      <c r="BI37">
        <v>8</v>
      </c>
      <c r="BJ37" t="s">
        <v>150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3</v>
      </c>
      <c r="BY37">
        <f t="shared" si="0"/>
        <v>0</v>
      </c>
      <c r="BZ37" t="s">
        <v>114</v>
      </c>
      <c r="CA37" t="s">
        <v>96</v>
      </c>
    </row>
    <row r="38" spans="1:79">
      <c r="A38" t="s">
        <v>97</v>
      </c>
      <c r="B38" t="s">
        <v>98</v>
      </c>
      <c r="C38" t="s">
        <v>99</v>
      </c>
      <c r="D38">
        <v>6</v>
      </c>
      <c r="E38">
        <v>8</v>
      </c>
      <c r="F38">
        <v>1</v>
      </c>
      <c r="G38" t="s">
        <v>77</v>
      </c>
      <c r="H38" t="s">
        <v>100</v>
      </c>
      <c r="I38" s="1">
        <v>45726</v>
      </c>
      <c r="J38" s="1">
        <v>45726</v>
      </c>
      <c r="K38">
        <v>1</v>
      </c>
      <c r="L38" t="s">
        <v>77</v>
      </c>
      <c r="M38" t="s">
        <v>101</v>
      </c>
      <c r="N38" t="s">
        <v>77</v>
      </c>
      <c r="O38" t="s">
        <v>77</v>
      </c>
      <c r="P38" t="s">
        <v>102</v>
      </c>
      <c r="Q38" t="s">
        <v>81</v>
      </c>
      <c r="R38" t="s">
        <v>82</v>
      </c>
      <c r="S38">
        <v>2</v>
      </c>
      <c r="T38" t="s">
        <v>83</v>
      </c>
      <c r="U38" t="s">
        <v>84</v>
      </c>
      <c r="V38">
        <v>2025</v>
      </c>
      <c r="W38">
        <v>1</v>
      </c>
      <c r="X38">
        <v>3</v>
      </c>
      <c r="Y38">
        <v>9</v>
      </c>
      <c r="AA38" t="s">
        <v>103</v>
      </c>
      <c r="AB38" t="s">
        <v>86</v>
      </c>
      <c r="AC38">
        <v>56</v>
      </c>
      <c r="AD38" s="2">
        <v>0.45833333333333331</v>
      </c>
      <c r="AE38">
        <v>1440</v>
      </c>
      <c r="AF38" t="s">
        <v>104</v>
      </c>
      <c r="AG38" t="s">
        <v>88</v>
      </c>
      <c r="AH38" t="s">
        <v>89</v>
      </c>
      <c r="AJ38">
        <v>54</v>
      </c>
      <c r="AK38">
        <v>25</v>
      </c>
      <c r="AL38">
        <v>19</v>
      </c>
      <c r="AM38">
        <v>42</v>
      </c>
      <c r="AN38">
        <v>3</v>
      </c>
      <c r="AO38">
        <v>3</v>
      </c>
      <c r="AP38">
        <v>2</v>
      </c>
      <c r="AQ38">
        <v>1</v>
      </c>
      <c r="AR38" t="s">
        <v>91</v>
      </c>
      <c r="AS38" t="s">
        <v>92</v>
      </c>
      <c r="AT38" t="s">
        <v>105</v>
      </c>
      <c r="AU38">
        <v>0</v>
      </c>
      <c r="AW38" t="s">
        <v>98</v>
      </c>
      <c r="AX38" t="s">
        <v>81</v>
      </c>
      <c r="AY38" t="s">
        <v>94</v>
      </c>
      <c r="AZ38">
        <v>0</v>
      </c>
      <c r="BB38">
        <v>57</v>
      </c>
      <c r="BC38">
        <v>169</v>
      </c>
      <c r="BD38">
        <v>2</v>
      </c>
      <c r="BE38">
        <v>6</v>
      </c>
      <c r="BF38">
        <v>0</v>
      </c>
      <c r="BG38">
        <v>11</v>
      </c>
      <c r="BI38">
        <v>9</v>
      </c>
      <c r="BQ38">
        <v>0</v>
      </c>
      <c r="BR38">
        <v>0</v>
      </c>
      <c r="BS38">
        <v>0</v>
      </c>
      <c r="BT38">
        <v>0</v>
      </c>
      <c r="BU38">
        <v>0</v>
      </c>
      <c r="BY38">
        <f t="shared" si="0"/>
        <v>0</v>
      </c>
      <c r="BZ38" t="s">
        <v>115</v>
      </c>
      <c r="CA38" t="s">
        <v>96</v>
      </c>
    </row>
    <row r="39" spans="1:79" hidden="1">
      <c r="A39" t="s">
        <v>97</v>
      </c>
      <c r="B39" t="s">
        <v>98</v>
      </c>
      <c r="C39" t="s">
        <v>99</v>
      </c>
      <c r="D39">
        <v>6</v>
      </c>
      <c r="E39">
        <v>8</v>
      </c>
      <c r="F39">
        <v>1</v>
      </c>
      <c r="G39" t="s">
        <v>77</v>
      </c>
      <c r="H39" t="s">
        <v>100</v>
      </c>
      <c r="I39" s="1">
        <v>45726</v>
      </c>
      <c r="J39" s="1">
        <v>45726</v>
      </c>
      <c r="K39">
        <v>1</v>
      </c>
      <c r="L39" t="s">
        <v>77</v>
      </c>
      <c r="M39" t="s">
        <v>101</v>
      </c>
      <c r="N39" t="s">
        <v>77</v>
      </c>
      <c r="O39" t="s">
        <v>77</v>
      </c>
      <c r="P39" t="s">
        <v>102</v>
      </c>
      <c r="Q39" t="s">
        <v>81</v>
      </c>
      <c r="R39" t="s">
        <v>82</v>
      </c>
      <c r="S39">
        <v>2</v>
      </c>
      <c r="T39" t="s">
        <v>83</v>
      </c>
      <c r="U39" t="s">
        <v>84</v>
      </c>
      <c r="V39">
        <v>2025</v>
      </c>
      <c r="W39">
        <v>1</v>
      </c>
      <c r="X39">
        <v>3</v>
      </c>
      <c r="Y39">
        <v>9</v>
      </c>
      <c r="AA39" t="s">
        <v>103</v>
      </c>
      <c r="AB39" t="s">
        <v>86</v>
      </c>
      <c r="AC39">
        <v>56</v>
      </c>
      <c r="AD39" s="2">
        <v>0.45833333333333331</v>
      </c>
      <c r="AE39">
        <v>1440</v>
      </c>
      <c r="AF39" t="s">
        <v>104</v>
      </c>
      <c r="AG39" t="s">
        <v>88</v>
      </c>
      <c r="AH39" t="s">
        <v>89</v>
      </c>
      <c r="AJ39">
        <v>54</v>
      </c>
      <c r="AK39">
        <v>25</v>
      </c>
      <c r="AL39">
        <v>19</v>
      </c>
      <c r="AM39">
        <v>42</v>
      </c>
      <c r="AN39">
        <v>3</v>
      </c>
      <c r="AO39">
        <v>3</v>
      </c>
      <c r="AP39">
        <v>2</v>
      </c>
      <c r="AQ39">
        <v>1</v>
      </c>
      <c r="AR39" t="s">
        <v>91</v>
      </c>
      <c r="AS39" t="s">
        <v>92</v>
      </c>
      <c r="AT39" t="s">
        <v>105</v>
      </c>
      <c r="AU39">
        <v>0</v>
      </c>
      <c r="AW39" t="s">
        <v>98</v>
      </c>
      <c r="AX39" t="s">
        <v>81</v>
      </c>
      <c r="AY39" t="s">
        <v>94</v>
      </c>
      <c r="AZ39">
        <v>0</v>
      </c>
      <c r="BB39">
        <v>58</v>
      </c>
      <c r="BC39">
        <v>166</v>
      </c>
      <c r="BD39">
        <v>1</v>
      </c>
      <c r="BE39">
        <v>7</v>
      </c>
      <c r="BF39">
        <v>0</v>
      </c>
      <c r="BG39">
        <v>9</v>
      </c>
      <c r="BI39">
        <v>8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5</v>
      </c>
      <c r="BY39">
        <f t="shared" si="0"/>
        <v>0</v>
      </c>
      <c r="BZ39" t="s">
        <v>116</v>
      </c>
      <c r="CA39" t="s">
        <v>96</v>
      </c>
    </row>
    <row r="40" spans="1:79">
      <c r="A40" t="s">
        <v>74</v>
      </c>
      <c r="B40" t="s">
        <v>75</v>
      </c>
      <c r="C40" t="s">
        <v>76</v>
      </c>
      <c r="D40">
        <v>9</v>
      </c>
      <c r="E40">
        <v>74</v>
      </c>
      <c r="F40">
        <v>4</v>
      </c>
      <c r="G40" t="s">
        <v>77</v>
      </c>
      <c r="H40" t="s">
        <v>78</v>
      </c>
      <c r="I40" s="1">
        <v>45941</v>
      </c>
      <c r="J40" s="1">
        <v>45941</v>
      </c>
      <c r="K40">
        <v>1</v>
      </c>
      <c r="L40" t="s">
        <v>77</v>
      </c>
      <c r="M40" t="s">
        <v>79</v>
      </c>
      <c r="N40" t="s">
        <v>77</v>
      </c>
      <c r="O40" t="s">
        <v>77</v>
      </c>
      <c r="P40" t="s">
        <v>80</v>
      </c>
      <c r="Q40" t="s">
        <v>81</v>
      </c>
      <c r="R40" t="s">
        <v>82</v>
      </c>
      <c r="S40">
        <v>5</v>
      </c>
      <c r="T40" t="s">
        <v>83</v>
      </c>
      <c r="U40" t="s">
        <v>84</v>
      </c>
      <c r="V40">
        <v>2025</v>
      </c>
      <c r="W40">
        <v>1</v>
      </c>
      <c r="X40">
        <v>3</v>
      </c>
      <c r="Y40">
        <v>10</v>
      </c>
      <c r="AA40" t="s">
        <v>85</v>
      </c>
      <c r="AB40" t="s">
        <v>86</v>
      </c>
      <c r="AC40">
        <v>32</v>
      </c>
      <c r="AD40" s="2">
        <v>0.33333333333333331</v>
      </c>
      <c r="AE40">
        <v>1440</v>
      </c>
      <c r="AF40" t="s">
        <v>87</v>
      </c>
      <c r="AG40" t="s">
        <v>88</v>
      </c>
      <c r="AH40" t="s">
        <v>89</v>
      </c>
      <c r="AI40" t="s">
        <v>90</v>
      </c>
      <c r="AJ40">
        <v>54</v>
      </c>
      <c r="AK40">
        <v>21</v>
      </c>
      <c r="AL40">
        <v>19</v>
      </c>
      <c r="AM40">
        <v>32</v>
      </c>
      <c r="AN40">
        <v>3</v>
      </c>
      <c r="AO40">
        <v>3</v>
      </c>
      <c r="AP40">
        <v>5</v>
      </c>
      <c r="AQ40">
        <v>3</v>
      </c>
      <c r="AR40" t="s">
        <v>91</v>
      </c>
      <c r="AS40" t="s">
        <v>92</v>
      </c>
      <c r="AT40" t="s">
        <v>93</v>
      </c>
      <c r="AU40">
        <v>0</v>
      </c>
      <c r="AW40" t="s">
        <v>75</v>
      </c>
      <c r="AX40" t="s">
        <v>81</v>
      </c>
      <c r="AY40" t="s">
        <v>94</v>
      </c>
      <c r="AZ40">
        <v>0</v>
      </c>
      <c r="BB40">
        <v>47</v>
      </c>
      <c r="BC40">
        <v>87</v>
      </c>
      <c r="BD40">
        <v>1</v>
      </c>
      <c r="BE40">
        <v>6</v>
      </c>
      <c r="BF40">
        <v>0</v>
      </c>
      <c r="BG40">
        <v>8</v>
      </c>
      <c r="BI40">
        <v>9</v>
      </c>
      <c r="BQ40">
        <v>0</v>
      </c>
      <c r="BR40">
        <v>0</v>
      </c>
      <c r="BS40">
        <v>0</v>
      </c>
      <c r="BT40">
        <v>0</v>
      </c>
      <c r="BU40">
        <v>0</v>
      </c>
      <c r="BY40">
        <f t="shared" si="0"/>
        <v>0</v>
      </c>
      <c r="BZ40" t="s">
        <v>95</v>
      </c>
      <c r="CA40" t="s">
        <v>96</v>
      </c>
    </row>
    <row r="41" spans="1:79">
      <c r="A41" t="s">
        <v>74</v>
      </c>
      <c r="B41" t="s">
        <v>75</v>
      </c>
      <c r="C41" t="s">
        <v>76</v>
      </c>
      <c r="D41">
        <v>9</v>
      </c>
      <c r="E41">
        <v>74</v>
      </c>
      <c r="F41">
        <v>4</v>
      </c>
      <c r="G41" t="s">
        <v>77</v>
      </c>
      <c r="H41" t="s">
        <v>78</v>
      </c>
      <c r="I41" s="1">
        <v>45941</v>
      </c>
      <c r="J41" s="1">
        <v>45941</v>
      </c>
      <c r="K41">
        <v>1</v>
      </c>
      <c r="L41" t="s">
        <v>77</v>
      </c>
      <c r="M41" t="s">
        <v>79</v>
      </c>
      <c r="N41" t="s">
        <v>77</v>
      </c>
      <c r="O41" t="s">
        <v>77</v>
      </c>
      <c r="P41" t="s">
        <v>80</v>
      </c>
      <c r="Q41" t="s">
        <v>81</v>
      </c>
      <c r="R41" t="s">
        <v>82</v>
      </c>
      <c r="S41">
        <v>5</v>
      </c>
      <c r="T41" t="s">
        <v>83</v>
      </c>
      <c r="U41" t="s">
        <v>84</v>
      </c>
      <c r="V41">
        <v>2025</v>
      </c>
      <c r="W41">
        <v>1</v>
      </c>
      <c r="X41">
        <v>3</v>
      </c>
      <c r="Y41">
        <v>10</v>
      </c>
      <c r="AA41" t="s">
        <v>85</v>
      </c>
      <c r="AB41" t="s">
        <v>86</v>
      </c>
      <c r="AC41">
        <v>32</v>
      </c>
      <c r="AD41" s="2">
        <v>0.33333333333333331</v>
      </c>
      <c r="AE41">
        <v>1440</v>
      </c>
      <c r="AF41" t="s">
        <v>87</v>
      </c>
      <c r="AG41" t="s">
        <v>88</v>
      </c>
      <c r="AH41" t="s">
        <v>89</v>
      </c>
      <c r="AI41" t="s">
        <v>90</v>
      </c>
      <c r="AJ41">
        <v>54</v>
      </c>
      <c r="AK41">
        <v>21</v>
      </c>
      <c r="AL41">
        <v>19</v>
      </c>
      <c r="AM41">
        <v>32</v>
      </c>
      <c r="AN41">
        <v>3</v>
      </c>
      <c r="AO41">
        <v>3</v>
      </c>
      <c r="AP41">
        <v>5</v>
      </c>
      <c r="AQ41">
        <v>3</v>
      </c>
      <c r="AR41" t="s">
        <v>91</v>
      </c>
      <c r="AS41" t="s">
        <v>92</v>
      </c>
      <c r="AT41" t="s">
        <v>93</v>
      </c>
      <c r="AU41">
        <v>0</v>
      </c>
      <c r="AW41" t="s">
        <v>75</v>
      </c>
      <c r="AX41" t="s">
        <v>81</v>
      </c>
      <c r="AY41" t="s">
        <v>94</v>
      </c>
      <c r="AZ41">
        <v>0</v>
      </c>
      <c r="BB41">
        <v>48</v>
      </c>
      <c r="BC41">
        <v>118</v>
      </c>
      <c r="BD41">
        <v>2</v>
      </c>
      <c r="BE41">
        <v>6</v>
      </c>
      <c r="BF41">
        <v>0</v>
      </c>
      <c r="BG41">
        <v>9</v>
      </c>
      <c r="BI41">
        <v>9</v>
      </c>
      <c r="BJ41" t="s">
        <v>150</v>
      </c>
      <c r="BQ41">
        <v>0</v>
      </c>
      <c r="BR41">
        <v>0</v>
      </c>
      <c r="BS41">
        <v>0</v>
      </c>
      <c r="BT41">
        <v>0</v>
      </c>
      <c r="BU41">
        <v>0</v>
      </c>
      <c r="BY41">
        <f t="shared" si="0"/>
        <v>1</v>
      </c>
      <c r="BZ41" t="s">
        <v>157</v>
      </c>
      <c r="CA41" t="s">
        <v>96</v>
      </c>
    </row>
    <row r="42" spans="1:79">
      <c r="A42" t="s">
        <v>74</v>
      </c>
      <c r="B42" t="s">
        <v>75</v>
      </c>
      <c r="C42" t="s">
        <v>76</v>
      </c>
      <c r="D42">
        <v>9</v>
      </c>
      <c r="E42">
        <v>74</v>
      </c>
      <c r="F42">
        <v>4</v>
      </c>
      <c r="G42" t="s">
        <v>77</v>
      </c>
      <c r="H42" t="s">
        <v>78</v>
      </c>
      <c r="I42" s="1">
        <v>45941</v>
      </c>
      <c r="J42" s="1">
        <v>45941</v>
      </c>
      <c r="K42">
        <v>1</v>
      </c>
      <c r="L42" t="s">
        <v>77</v>
      </c>
      <c r="M42" t="s">
        <v>79</v>
      </c>
      <c r="N42" t="s">
        <v>77</v>
      </c>
      <c r="O42" t="s">
        <v>77</v>
      </c>
      <c r="P42" t="s">
        <v>80</v>
      </c>
      <c r="Q42" t="s">
        <v>81</v>
      </c>
      <c r="R42" t="s">
        <v>82</v>
      </c>
      <c r="S42">
        <v>5</v>
      </c>
      <c r="T42" t="s">
        <v>83</v>
      </c>
      <c r="U42" t="s">
        <v>84</v>
      </c>
      <c r="V42">
        <v>2025</v>
      </c>
      <c r="W42">
        <v>1</v>
      </c>
      <c r="X42">
        <v>3</v>
      </c>
      <c r="Y42">
        <v>10</v>
      </c>
      <c r="AA42" t="s">
        <v>85</v>
      </c>
      <c r="AB42" t="s">
        <v>86</v>
      </c>
      <c r="AC42">
        <v>32</v>
      </c>
      <c r="AD42" s="2">
        <v>0.33333333333333331</v>
      </c>
      <c r="AE42">
        <v>1440</v>
      </c>
      <c r="AF42" t="s">
        <v>87</v>
      </c>
      <c r="AG42" t="s">
        <v>88</v>
      </c>
      <c r="AH42" t="s">
        <v>89</v>
      </c>
      <c r="AI42" t="s">
        <v>90</v>
      </c>
      <c r="AJ42">
        <v>54</v>
      </c>
      <c r="AK42">
        <v>21</v>
      </c>
      <c r="AL42">
        <v>19</v>
      </c>
      <c r="AM42">
        <v>32</v>
      </c>
      <c r="AN42">
        <v>3</v>
      </c>
      <c r="AO42">
        <v>3</v>
      </c>
      <c r="AP42">
        <v>5</v>
      </c>
      <c r="AQ42">
        <v>3</v>
      </c>
      <c r="AR42" t="s">
        <v>91</v>
      </c>
      <c r="AS42" t="s">
        <v>92</v>
      </c>
      <c r="AT42" t="s">
        <v>93</v>
      </c>
      <c r="AU42">
        <v>0</v>
      </c>
      <c r="AW42" t="s">
        <v>75</v>
      </c>
      <c r="AX42" t="s">
        <v>81</v>
      </c>
      <c r="AY42" t="s">
        <v>94</v>
      </c>
      <c r="AZ42">
        <v>0</v>
      </c>
      <c r="BB42">
        <v>49</v>
      </c>
      <c r="BC42">
        <v>124</v>
      </c>
      <c r="BD42">
        <v>1</v>
      </c>
      <c r="BE42">
        <v>6</v>
      </c>
      <c r="BF42">
        <v>0</v>
      </c>
      <c r="BG42">
        <v>10</v>
      </c>
      <c r="BI42">
        <v>9</v>
      </c>
      <c r="BQ42">
        <v>0</v>
      </c>
      <c r="BR42">
        <v>0</v>
      </c>
      <c r="BS42">
        <v>0</v>
      </c>
      <c r="BT42">
        <v>0</v>
      </c>
      <c r="BU42">
        <v>0</v>
      </c>
      <c r="BY42">
        <f t="shared" si="0"/>
        <v>0</v>
      </c>
      <c r="BZ42" t="s">
        <v>158</v>
      </c>
      <c r="CA42" t="s">
        <v>96</v>
      </c>
    </row>
    <row r="43" spans="1:79" hidden="1">
      <c r="A43" t="s">
        <v>149</v>
      </c>
      <c r="C43" t="s">
        <v>76</v>
      </c>
      <c r="D43">
        <v>9</v>
      </c>
      <c r="E43">
        <v>74</v>
      </c>
      <c r="F43">
        <v>4</v>
      </c>
      <c r="G43" t="s">
        <v>77</v>
      </c>
      <c r="H43" t="s">
        <v>78</v>
      </c>
      <c r="I43" s="1">
        <v>45941</v>
      </c>
      <c r="J43" s="1">
        <v>45941</v>
      </c>
      <c r="K43">
        <v>1</v>
      </c>
      <c r="L43" t="s">
        <v>77</v>
      </c>
      <c r="M43" t="s">
        <v>79</v>
      </c>
      <c r="N43" t="s">
        <v>77</v>
      </c>
      <c r="O43" t="s">
        <v>77</v>
      </c>
      <c r="P43" t="s">
        <v>80</v>
      </c>
      <c r="Q43" t="s">
        <v>81</v>
      </c>
      <c r="R43" t="s">
        <v>82</v>
      </c>
      <c r="S43">
        <v>5</v>
      </c>
      <c r="T43" t="s">
        <v>83</v>
      </c>
      <c r="U43" t="s">
        <v>84</v>
      </c>
      <c r="V43">
        <v>2025</v>
      </c>
      <c r="W43">
        <v>1</v>
      </c>
      <c r="X43">
        <v>3</v>
      </c>
      <c r="Y43">
        <v>10</v>
      </c>
      <c r="AA43" t="s">
        <v>85</v>
      </c>
      <c r="AB43" t="s">
        <v>86</v>
      </c>
      <c r="AC43">
        <v>32</v>
      </c>
      <c r="AD43" s="2">
        <v>0.33333333333333331</v>
      </c>
      <c r="AE43">
        <v>1440</v>
      </c>
      <c r="AF43" t="s">
        <v>87</v>
      </c>
      <c r="AG43" t="s">
        <v>88</v>
      </c>
      <c r="AH43" t="s">
        <v>89</v>
      </c>
      <c r="AI43" t="s">
        <v>90</v>
      </c>
      <c r="AJ43">
        <v>54</v>
      </c>
      <c r="AK43">
        <v>21</v>
      </c>
      <c r="AL43">
        <v>19</v>
      </c>
      <c r="AM43">
        <v>32</v>
      </c>
      <c r="AN43">
        <v>3</v>
      </c>
      <c r="AO43">
        <v>3</v>
      </c>
      <c r="AP43">
        <v>5</v>
      </c>
      <c r="AQ43">
        <v>3</v>
      </c>
      <c r="AR43" t="s">
        <v>91</v>
      </c>
      <c r="AS43" t="s">
        <v>92</v>
      </c>
      <c r="AT43" t="s">
        <v>93</v>
      </c>
      <c r="AU43">
        <v>0</v>
      </c>
      <c r="AW43" t="s">
        <v>75</v>
      </c>
      <c r="AX43" t="s">
        <v>81</v>
      </c>
      <c r="AY43" t="s">
        <v>94</v>
      </c>
      <c r="AZ43">
        <v>0</v>
      </c>
      <c r="BB43">
        <v>45</v>
      </c>
      <c r="BC43">
        <v>101</v>
      </c>
      <c r="BD43">
        <v>1</v>
      </c>
      <c r="BE43">
        <v>4</v>
      </c>
      <c r="BF43">
        <v>0</v>
      </c>
      <c r="BG43">
        <v>8</v>
      </c>
      <c r="BI43">
        <v>8</v>
      </c>
      <c r="BY43">
        <f t="shared" si="0"/>
        <v>1</v>
      </c>
      <c r="BZ43" t="s">
        <v>159</v>
      </c>
      <c r="CA43" t="s">
        <v>96</v>
      </c>
    </row>
    <row r="44" spans="1:79" hidden="1">
      <c r="A44" t="s">
        <v>149</v>
      </c>
      <c r="C44" t="s">
        <v>76</v>
      </c>
      <c r="D44">
        <v>9</v>
      </c>
      <c r="E44">
        <v>74</v>
      </c>
      <c r="F44">
        <v>4</v>
      </c>
      <c r="G44" t="s">
        <v>77</v>
      </c>
      <c r="H44" t="s">
        <v>78</v>
      </c>
      <c r="I44" s="1">
        <v>45941</v>
      </c>
      <c r="J44" s="1">
        <v>45941</v>
      </c>
      <c r="K44">
        <v>1</v>
      </c>
      <c r="L44" t="s">
        <v>77</v>
      </c>
      <c r="M44" t="s">
        <v>79</v>
      </c>
      <c r="N44" t="s">
        <v>77</v>
      </c>
      <c r="O44" t="s">
        <v>77</v>
      </c>
      <c r="P44" t="s">
        <v>80</v>
      </c>
      <c r="Q44" t="s">
        <v>81</v>
      </c>
      <c r="R44" t="s">
        <v>82</v>
      </c>
      <c r="S44">
        <v>5</v>
      </c>
      <c r="T44" t="s">
        <v>83</v>
      </c>
      <c r="U44" t="s">
        <v>84</v>
      </c>
      <c r="V44">
        <v>2025</v>
      </c>
      <c r="W44">
        <v>1</v>
      </c>
      <c r="X44">
        <v>3</v>
      </c>
      <c r="Y44">
        <v>10</v>
      </c>
      <c r="AA44" t="s">
        <v>85</v>
      </c>
      <c r="AB44" t="s">
        <v>86</v>
      </c>
      <c r="AC44">
        <v>32</v>
      </c>
      <c r="AD44" s="2">
        <v>0.33333333333333331</v>
      </c>
      <c r="AE44">
        <v>1440</v>
      </c>
      <c r="AF44" t="s">
        <v>87</v>
      </c>
      <c r="AG44" t="s">
        <v>88</v>
      </c>
      <c r="AH44" t="s">
        <v>89</v>
      </c>
      <c r="AI44" t="s">
        <v>90</v>
      </c>
      <c r="AJ44">
        <v>54</v>
      </c>
      <c r="AK44">
        <v>21</v>
      </c>
      <c r="AL44">
        <v>19</v>
      </c>
      <c r="AM44">
        <v>32</v>
      </c>
      <c r="AN44">
        <v>3</v>
      </c>
      <c r="AO44">
        <v>3</v>
      </c>
      <c r="AP44">
        <v>5</v>
      </c>
      <c r="AQ44">
        <v>3</v>
      </c>
      <c r="AR44" t="s">
        <v>91</v>
      </c>
      <c r="AS44" t="s">
        <v>92</v>
      </c>
      <c r="AT44" t="s">
        <v>93</v>
      </c>
      <c r="AU44">
        <v>0</v>
      </c>
      <c r="AW44" t="s">
        <v>75</v>
      </c>
      <c r="AX44" t="s">
        <v>81</v>
      </c>
      <c r="AY44" t="s">
        <v>94</v>
      </c>
      <c r="AZ44">
        <v>0</v>
      </c>
      <c r="BB44">
        <v>43</v>
      </c>
      <c r="BC44">
        <v>105</v>
      </c>
      <c r="BD44">
        <v>2</v>
      </c>
      <c r="BE44">
        <v>6</v>
      </c>
      <c r="BF44">
        <v>0</v>
      </c>
      <c r="BG44">
        <v>8</v>
      </c>
      <c r="BI44">
        <v>8</v>
      </c>
      <c r="BY44">
        <f t="shared" si="0"/>
        <v>1</v>
      </c>
      <c r="BZ44" t="s">
        <v>160</v>
      </c>
      <c r="CA44" t="s">
        <v>96</v>
      </c>
    </row>
  </sheetData>
  <autoFilter ref="A1:CA44">
    <filterColumn colId="60">
      <filters>
        <filter val="9"/>
      </filters>
    </filterColumn>
    <sortState ref="A2:CA42">
      <sortCondition ref="BZ1:BZ42"/>
    </sortState>
  </autoFilter>
  <sortState ref="A2:CA42">
    <sortCondition ref="J1:J4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Smoliński</dc:creator>
  <cp:lastModifiedBy>Nikon</cp:lastModifiedBy>
  <dcterms:created xsi:type="dcterms:W3CDTF">2025-03-12T07:40:15Z</dcterms:created>
  <dcterms:modified xsi:type="dcterms:W3CDTF">2025-03-27T12:34:07Z</dcterms:modified>
</cp:coreProperties>
</file>